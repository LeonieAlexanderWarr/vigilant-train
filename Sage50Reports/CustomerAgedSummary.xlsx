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rr\Desktop\AFDATOOL\Sage 50 Reports\"/>
    </mc:Choice>
  </mc:AlternateContent>
  <xr:revisionPtr revIDLastSave="0" documentId="8_{FEF593D0-48A8-431E-9CAF-9800B8216225}" xr6:coauthVersionLast="47" xr6:coauthVersionMax="47" xr10:uidLastSave="{00000000-0000-0000-0000-000000000000}"/>
  <bookViews>
    <workbookView xWindow="2205" yWindow="2205" windowWidth="21600" windowHeight="11295" xr2:uid="{F1B50F46-299C-4F98-9CEB-9BDD8B0B7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26" i="1" l="1"/>
  <c r="H426" i="1"/>
  <c r="G426" i="1"/>
  <c r="F426" i="1"/>
  <c r="E426" i="1"/>
  <c r="I421" i="1"/>
  <c r="H421" i="1"/>
  <c r="G421" i="1"/>
  <c r="F421" i="1"/>
  <c r="E421" i="1"/>
  <c r="I407" i="1"/>
  <c r="H407" i="1"/>
  <c r="G407" i="1"/>
  <c r="F407" i="1"/>
  <c r="E407" i="1"/>
  <c r="I399" i="1"/>
  <c r="H399" i="1"/>
  <c r="G399" i="1"/>
  <c r="F399" i="1"/>
  <c r="E399" i="1"/>
  <c r="I386" i="1"/>
  <c r="H386" i="1"/>
  <c r="G386" i="1"/>
  <c r="F386" i="1"/>
  <c r="E386" i="1"/>
  <c r="I379" i="1"/>
  <c r="H379" i="1"/>
  <c r="G379" i="1"/>
  <c r="F379" i="1"/>
  <c r="E379" i="1"/>
  <c r="I369" i="1"/>
  <c r="H369" i="1"/>
  <c r="G369" i="1"/>
  <c r="F369" i="1"/>
  <c r="E369" i="1"/>
  <c r="I358" i="1"/>
  <c r="H358" i="1"/>
  <c r="G358" i="1"/>
  <c r="F358" i="1"/>
  <c r="E358" i="1"/>
  <c r="I348" i="1"/>
  <c r="H348" i="1"/>
  <c r="G348" i="1"/>
  <c r="F348" i="1"/>
  <c r="E348" i="1"/>
  <c r="I321" i="1"/>
  <c r="H321" i="1"/>
  <c r="G321" i="1"/>
  <c r="F321" i="1"/>
  <c r="E321" i="1"/>
  <c r="I308" i="1"/>
  <c r="H308" i="1"/>
  <c r="G308" i="1"/>
  <c r="F308" i="1"/>
  <c r="E308" i="1"/>
  <c r="I298" i="1"/>
  <c r="H298" i="1"/>
  <c r="G298" i="1"/>
  <c r="F298" i="1"/>
  <c r="E298" i="1"/>
  <c r="I280" i="1"/>
  <c r="H280" i="1"/>
  <c r="G280" i="1"/>
  <c r="F280" i="1"/>
  <c r="E280" i="1"/>
  <c r="I260" i="1"/>
  <c r="H260" i="1"/>
  <c r="G260" i="1"/>
  <c r="F260" i="1"/>
  <c r="E260" i="1"/>
  <c r="I249" i="1"/>
  <c r="H249" i="1"/>
  <c r="G249" i="1"/>
  <c r="F249" i="1"/>
  <c r="E249" i="1"/>
  <c r="I236" i="1"/>
  <c r="H236" i="1"/>
  <c r="G236" i="1"/>
  <c r="F236" i="1"/>
  <c r="E236" i="1"/>
  <c r="I214" i="1"/>
  <c r="H214" i="1"/>
  <c r="G214" i="1"/>
  <c r="F214" i="1"/>
  <c r="E214" i="1"/>
  <c r="I200" i="1"/>
  <c r="H200" i="1"/>
  <c r="G200" i="1"/>
  <c r="F200" i="1"/>
  <c r="E200" i="1"/>
  <c r="I189" i="1"/>
  <c r="H189" i="1"/>
  <c r="G189" i="1"/>
  <c r="F189" i="1"/>
  <c r="E189" i="1"/>
  <c r="I178" i="1"/>
  <c r="H178" i="1"/>
  <c r="G178" i="1"/>
  <c r="F178" i="1"/>
  <c r="E178" i="1"/>
  <c r="I161" i="1"/>
  <c r="H161" i="1"/>
  <c r="G161" i="1"/>
  <c r="F161" i="1"/>
  <c r="E161" i="1"/>
  <c r="I141" i="1"/>
  <c r="H141" i="1"/>
  <c r="G141" i="1"/>
  <c r="F141" i="1"/>
  <c r="E141" i="1"/>
  <c r="I125" i="1"/>
  <c r="H125" i="1"/>
  <c r="G125" i="1"/>
  <c r="F125" i="1"/>
  <c r="E125" i="1"/>
  <c r="I99" i="1"/>
  <c r="H99" i="1"/>
  <c r="G99" i="1"/>
  <c r="F99" i="1"/>
  <c r="E99" i="1"/>
  <c r="I89" i="1"/>
  <c r="H89" i="1"/>
  <c r="G89" i="1"/>
  <c r="F89" i="1"/>
  <c r="E89" i="1"/>
  <c r="I84" i="1"/>
  <c r="H84" i="1"/>
  <c r="G84" i="1"/>
  <c r="F84" i="1"/>
  <c r="E84" i="1"/>
  <c r="I71" i="1"/>
  <c r="H71" i="1"/>
  <c r="G71" i="1"/>
  <c r="F71" i="1"/>
  <c r="E71" i="1"/>
  <c r="I57" i="1"/>
  <c r="H57" i="1"/>
  <c r="G57" i="1"/>
  <c r="F57" i="1"/>
  <c r="E57" i="1"/>
  <c r="I33" i="1"/>
  <c r="H33" i="1"/>
  <c r="G33" i="1"/>
  <c r="F33" i="1"/>
  <c r="E33" i="1"/>
  <c r="I16" i="1"/>
  <c r="H16" i="1"/>
  <c r="G16" i="1"/>
  <c r="F16" i="1"/>
  <c r="E16" i="1"/>
</calcChain>
</file>

<file path=xl/sharedStrings.xml><?xml version="1.0" encoding="utf-8"?>
<sst xmlns="http://schemas.openxmlformats.org/spreadsheetml/2006/main" count="677" uniqueCount="281">
  <si>
    <t>UNIVERSAL CONSTRUCTION</t>
  </si>
  <si>
    <t>Customer Aged Detail As at Mar 31, 2025</t>
  </si>
  <si>
    <t/>
  </si>
  <si>
    <t xml:space="preserve"> Source</t>
  </si>
  <si>
    <t xml:space="preserve"> Date</t>
  </si>
  <si>
    <t xml:space="preserve"> Transaction Type</t>
  </si>
  <si>
    <t xml:space="preserve"> Total</t>
  </si>
  <si>
    <t xml:space="preserve"> Current</t>
  </si>
  <si>
    <t xml:space="preserve"> 31 to 60</t>
  </si>
  <si>
    <t xml:space="preserve"> 61 to 90</t>
  </si>
  <si>
    <t xml:space="preserve"> 91+</t>
  </si>
  <si>
    <t>Ashburton Reinforcing</t>
  </si>
  <si>
    <t>17780</t>
  </si>
  <si>
    <t>Invoice</t>
  </si>
  <si>
    <t>Cash</t>
  </si>
  <si>
    <t>Discount</t>
  </si>
  <si>
    <t>Payment</t>
  </si>
  <si>
    <t>27817</t>
  </si>
  <si>
    <t>524</t>
  </si>
  <si>
    <t>534</t>
  </si>
  <si>
    <t>17808</t>
  </si>
  <si>
    <t>17811</t>
  </si>
  <si>
    <t>27848</t>
  </si>
  <si>
    <t>Total outstanding:</t>
  </si>
  <si>
    <t>Askew Shopping Centre</t>
  </si>
  <si>
    <t>17809</t>
  </si>
  <si>
    <t>17820</t>
  </si>
  <si>
    <t>416</t>
  </si>
  <si>
    <t>17844</t>
  </si>
  <si>
    <t>514</t>
  </si>
  <si>
    <t>27820</t>
  </si>
  <si>
    <t>526</t>
  </si>
  <si>
    <t>17810</t>
  </si>
  <si>
    <t>17812</t>
  </si>
  <si>
    <t>27844</t>
  </si>
  <si>
    <t>27849</t>
  </si>
  <si>
    <t>Bayswater School Board</t>
  </si>
  <si>
    <t>17781</t>
  </si>
  <si>
    <t>386</t>
  </si>
  <si>
    <t>17786</t>
  </si>
  <si>
    <t>387</t>
  </si>
  <si>
    <t>17839</t>
  </si>
  <si>
    <t>551</t>
  </si>
  <si>
    <t>17837</t>
  </si>
  <si>
    <t>27827</t>
  </si>
  <si>
    <t>525</t>
  </si>
  <si>
    <t>27830</t>
  </si>
  <si>
    <t>27837</t>
  </si>
  <si>
    <t>532</t>
  </si>
  <si>
    <t>27839</t>
  </si>
  <si>
    <t>DN-1</t>
  </si>
  <si>
    <t>Debit Note</t>
  </si>
  <si>
    <t>Belvedere Nursing Home</t>
  </si>
  <si>
    <t>17798</t>
  </si>
  <si>
    <t>400</t>
  </si>
  <si>
    <t>17823</t>
  </si>
  <si>
    <t>419</t>
  </si>
  <si>
    <t>27810</t>
  </si>
  <si>
    <t>27823</t>
  </si>
  <si>
    <t>519</t>
  </si>
  <si>
    <t>533</t>
  </si>
  <si>
    <t>Brown, Jerome B.</t>
  </si>
  <si>
    <t>17782</t>
  </si>
  <si>
    <t>388</t>
  </si>
  <si>
    <t>17800</t>
  </si>
  <si>
    <t>401</t>
  </si>
  <si>
    <t>17824</t>
  </si>
  <si>
    <t>420</t>
  </si>
  <si>
    <t>27800</t>
  </si>
  <si>
    <t>501</t>
  </si>
  <si>
    <t>27836</t>
  </si>
  <si>
    <t>Catmos Island Construction Unlimited</t>
  </si>
  <si>
    <t>27855</t>
  </si>
  <si>
    <t>Cavendish, Peter S.</t>
  </si>
  <si>
    <t>17803</t>
  </si>
  <si>
    <t>402</t>
  </si>
  <si>
    <t>17825</t>
  </si>
  <si>
    <t>421</t>
  </si>
  <si>
    <t>27825</t>
  </si>
  <si>
    <t>521</t>
  </si>
  <si>
    <t>Construction Concrete Corp</t>
  </si>
  <si>
    <t>17784</t>
  </si>
  <si>
    <t>989</t>
  </si>
  <si>
    <t>17789</t>
  </si>
  <si>
    <t>391</t>
  </si>
  <si>
    <t>17796</t>
  </si>
  <si>
    <t>393</t>
  </si>
  <si>
    <t>17804</t>
  </si>
  <si>
    <t>403</t>
  </si>
  <si>
    <t>17818</t>
  </si>
  <si>
    <t>417</t>
  </si>
  <si>
    <t>17840</t>
  </si>
  <si>
    <t>493</t>
  </si>
  <si>
    <t>27796</t>
  </si>
  <si>
    <t>27804</t>
  </si>
  <si>
    <t>503</t>
  </si>
  <si>
    <t>552</t>
  </si>
  <si>
    <t>27818</t>
  </si>
  <si>
    <t>538</t>
  </si>
  <si>
    <t>27840</t>
  </si>
  <si>
    <t>DAB Collision Ltd</t>
  </si>
  <si>
    <t>17827</t>
  </si>
  <si>
    <t>425</t>
  </si>
  <si>
    <t>17845</t>
  </si>
  <si>
    <t>496</t>
  </si>
  <si>
    <t>505</t>
  </si>
  <si>
    <t>27792</t>
  </si>
  <si>
    <t>27845</t>
  </si>
  <si>
    <t>17814</t>
  </si>
  <si>
    <t>District Of Slocan</t>
  </si>
  <si>
    <t>17785</t>
  </si>
  <si>
    <t>392</t>
  </si>
  <si>
    <t>17790</t>
  </si>
  <si>
    <t>17797</t>
  </si>
  <si>
    <t>399</t>
  </si>
  <si>
    <t>17836</t>
  </si>
  <si>
    <t>499</t>
  </si>
  <si>
    <t>27797</t>
  </si>
  <si>
    <t>17817</t>
  </si>
  <si>
    <t>27846</t>
  </si>
  <si>
    <t>AMEX</t>
  </si>
  <si>
    <t>27854</t>
  </si>
  <si>
    <t>Fogarty Motors</t>
  </si>
  <si>
    <t>17807</t>
  </si>
  <si>
    <t>408</t>
  </si>
  <si>
    <t>17830</t>
  </si>
  <si>
    <t>426</t>
  </si>
  <si>
    <t>17835</t>
  </si>
  <si>
    <t>434</t>
  </si>
  <si>
    <t>27802</t>
  </si>
  <si>
    <t>507</t>
  </si>
  <si>
    <t>27807</t>
  </si>
  <si>
    <t>508</t>
  </si>
  <si>
    <t>515</t>
  </si>
  <si>
    <t>Garry High School Board</t>
  </si>
  <si>
    <t>17805</t>
  </si>
  <si>
    <t>404</t>
  </si>
  <si>
    <t>27833</t>
  </si>
  <si>
    <t>527</t>
  </si>
  <si>
    <t>17813</t>
  </si>
  <si>
    <t>27842</t>
  </si>
  <si>
    <t>Gigi's Pasta &amp; Pizza</t>
  </si>
  <si>
    <t>411</t>
  </si>
  <si>
    <t>17821</t>
  </si>
  <si>
    <t>422</t>
  </si>
  <si>
    <t>27803</t>
  </si>
  <si>
    <t>502</t>
  </si>
  <si>
    <t>Hannah's Import Inc.</t>
  </si>
  <si>
    <t>17787</t>
  </si>
  <si>
    <t>389</t>
  </si>
  <si>
    <t>410</t>
  </si>
  <si>
    <t>17846</t>
  </si>
  <si>
    <t>500</t>
  </si>
  <si>
    <t>27798</t>
  </si>
  <si>
    <t>27812</t>
  </si>
  <si>
    <t>510</t>
  </si>
  <si>
    <t>International Oil</t>
  </si>
  <si>
    <t>17799</t>
  </si>
  <si>
    <t>398</t>
  </si>
  <si>
    <t>17815</t>
  </si>
  <si>
    <t>412</t>
  </si>
  <si>
    <t>17819</t>
  </si>
  <si>
    <t>418</t>
  </si>
  <si>
    <t>17838</t>
  </si>
  <si>
    <t>435</t>
  </si>
  <si>
    <t>27799</t>
  </si>
  <si>
    <t>498</t>
  </si>
  <si>
    <t>27819</t>
  </si>
  <si>
    <t>518</t>
  </si>
  <si>
    <t>553</t>
  </si>
  <si>
    <t>17816</t>
  </si>
  <si>
    <t>27838</t>
  </si>
  <si>
    <t>535</t>
  </si>
  <si>
    <t>27843</t>
  </si>
  <si>
    <t>27853</t>
  </si>
  <si>
    <t>Jordan Lighting Corp.</t>
  </si>
  <si>
    <t>17783</t>
  </si>
  <si>
    <t>390</t>
  </si>
  <si>
    <t>17842</t>
  </si>
  <si>
    <t>504</t>
  </si>
  <si>
    <t>27805</t>
  </si>
  <si>
    <t>CN-2</t>
  </si>
  <si>
    <t>Credit Note</t>
  </si>
  <si>
    <t>Kent Industries Inc.</t>
  </si>
  <si>
    <t>17793</t>
  </si>
  <si>
    <t>394</t>
  </si>
  <si>
    <t>17843</t>
  </si>
  <si>
    <t>494</t>
  </si>
  <si>
    <t>27793</t>
  </si>
  <si>
    <t>27835</t>
  </si>
  <si>
    <t>Lowland Brewery Inc.</t>
  </si>
  <si>
    <t>17806</t>
  </si>
  <si>
    <t>409</t>
  </si>
  <si>
    <t>17826</t>
  </si>
  <si>
    <t>423</t>
  </si>
  <si>
    <t>27794</t>
  </si>
  <si>
    <t>495</t>
  </si>
  <si>
    <t>27806</t>
  </si>
  <si>
    <t>509</t>
  </si>
  <si>
    <t>27826</t>
  </si>
  <si>
    <t>523</t>
  </si>
  <si>
    <t>27847</t>
  </si>
  <si>
    <t>Mainline Rail Ltd.</t>
  </si>
  <si>
    <t>17788</t>
  </si>
  <si>
    <t>17794</t>
  </si>
  <si>
    <t>395</t>
  </si>
  <si>
    <t>413</t>
  </si>
  <si>
    <t>17833</t>
  </si>
  <si>
    <t>427</t>
  </si>
  <si>
    <t>27809</t>
  </si>
  <si>
    <t>27813</t>
  </si>
  <si>
    <t>27851</t>
  </si>
  <si>
    <t>Marine Dental Center</t>
  </si>
  <si>
    <t>27822</t>
  </si>
  <si>
    <t>27850</t>
  </si>
  <si>
    <t>New Look Exteriors</t>
  </si>
  <si>
    <t>17791</t>
  </si>
  <si>
    <t>MasterCard</t>
  </si>
  <si>
    <t>17828</t>
  </si>
  <si>
    <t>27808</t>
  </si>
  <si>
    <t>Ocean View Apartments</t>
  </si>
  <si>
    <t>17795</t>
  </si>
  <si>
    <t>397</t>
  </si>
  <si>
    <t>17801</t>
  </si>
  <si>
    <t>406</t>
  </si>
  <si>
    <t>17829</t>
  </si>
  <si>
    <t>428</t>
  </si>
  <si>
    <t>17831</t>
  </si>
  <si>
    <t>431</t>
  </si>
  <si>
    <t>17841</t>
  </si>
  <si>
    <t>497</t>
  </si>
  <si>
    <t>27795</t>
  </si>
  <si>
    <t>27801</t>
  </si>
  <si>
    <t>27829</t>
  </si>
  <si>
    <t>528</t>
  </si>
  <si>
    <t>27831</t>
  </si>
  <si>
    <t>27852</t>
  </si>
  <si>
    <t>CN-1</t>
  </si>
  <si>
    <t>Osborne Packaging</t>
  </si>
  <si>
    <t>424</t>
  </si>
  <si>
    <t>17847</t>
  </si>
  <si>
    <t>511</t>
  </si>
  <si>
    <t>27811</t>
  </si>
  <si>
    <t>Paramount NW Production (US)</t>
  </si>
  <si>
    <t>414</t>
  </si>
  <si>
    <t>27814</t>
  </si>
  <si>
    <t>517</t>
  </si>
  <si>
    <t>537</t>
  </si>
  <si>
    <t>DN-2</t>
  </si>
  <si>
    <t>Richmond Optical</t>
  </si>
  <si>
    <t>17832</t>
  </si>
  <si>
    <t>429</t>
  </si>
  <si>
    <t>27821</t>
  </si>
  <si>
    <t>522</t>
  </si>
  <si>
    <t>27832</t>
  </si>
  <si>
    <t>529</t>
  </si>
  <si>
    <t>South Flats Drainage Board</t>
  </si>
  <si>
    <t>415</t>
  </si>
  <si>
    <t>550</t>
  </si>
  <si>
    <t>Travelways Inc.</t>
  </si>
  <si>
    <t>17802</t>
  </si>
  <si>
    <t>405</t>
  </si>
  <si>
    <t>407</t>
  </si>
  <si>
    <t>17822</t>
  </si>
  <si>
    <t>27824</t>
  </si>
  <si>
    <t>520</t>
  </si>
  <si>
    <t>Village Realty</t>
  </si>
  <si>
    <t>27815</t>
  </si>
  <si>
    <t>512</t>
  </si>
  <si>
    <t>27816</t>
  </si>
  <si>
    <t>West Coast Development</t>
  </si>
  <si>
    <t>17792</t>
  </si>
  <si>
    <t>396</t>
  </si>
  <si>
    <t>17834</t>
  </si>
  <si>
    <t>430</t>
  </si>
  <si>
    <t>27828</t>
  </si>
  <si>
    <t>27834</t>
  </si>
  <si>
    <t>530</t>
  </si>
  <si>
    <t>Total unpaid invoices:</t>
  </si>
  <si>
    <t>Total deposits/prepaid contracts:</t>
  </si>
  <si>
    <t>Generated On: Jul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</si>
</sst>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\ yyyy"/>
    <numFmt numFmtId="165" formatCode="#,##0.00\ ;\(#,##0.00\)"/>
  </numFmts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1" xfId="0" quotePrefix="1" applyNumberFormat="1" applyFont="1" applyBorder="1" applyAlignment="1">
      <alignment horizontal="left"/>
    </xf>
    <xf numFmtId="0" fontId="3" fillId="0" borderId="1" xfId="0" quotePrefix="1" applyNumberFormat="1" applyFont="1" applyBorder="1" applyAlignment="1">
      <alignment horizontal="right"/>
    </xf>
    <xf numFmtId="0" fontId="4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1172-1F38-4776-868A-303AD6A7E5E3}">
  <dimension ref="A1:I428"/>
  <sheetViews>
    <sheetView showGridLines="0"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31.5703125" bestFit="1" customWidth="1"/>
    <col min="2" max="2" width="9" bestFit="1" customWidth="1"/>
    <col min="3" max="3" width="10.28515625" bestFit="1" customWidth="1"/>
    <col min="4" max="4" width="13.5703125" bestFit="1" customWidth="1"/>
    <col min="5" max="7" width="9.140625" bestFit="1" customWidth="1"/>
    <col min="8" max="9" width="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3"/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x14ac:dyDescent="0.25">
      <c r="A5" s="7" t="s">
        <v>11</v>
      </c>
    </row>
    <row r="6" spans="1:9" x14ac:dyDescent="0.25">
      <c r="A6" s="3"/>
      <c r="B6" s="4" t="s">
        <v>12</v>
      </c>
      <c r="C6" s="8">
        <v>45126</v>
      </c>
      <c r="D6" s="4" t="s">
        <v>13</v>
      </c>
      <c r="E6" s="9">
        <v>15675</v>
      </c>
      <c r="F6" s="9">
        <v>0</v>
      </c>
      <c r="G6" s="9">
        <v>0</v>
      </c>
      <c r="H6" s="9">
        <v>0</v>
      </c>
      <c r="I6" s="9">
        <v>15675</v>
      </c>
    </row>
    <row r="7" spans="1:9" x14ac:dyDescent="0.25">
      <c r="A7" s="3"/>
      <c r="B7" s="4" t="s">
        <v>14</v>
      </c>
      <c r="C7" s="8">
        <v>45126</v>
      </c>
      <c r="D7" s="4" t="s">
        <v>15</v>
      </c>
      <c r="E7" s="10">
        <v>-275</v>
      </c>
      <c r="F7" s="9">
        <v>0</v>
      </c>
      <c r="G7" s="9">
        <v>0</v>
      </c>
      <c r="H7" s="9">
        <v>0</v>
      </c>
      <c r="I7" s="10">
        <v>-275</v>
      </c>
    </row>
    <row r="8" spans="1:9" x14ac:dyDescent="0.25">
      <c r="A8" s="3"/>
      <c r="B8" s="4" t="s">
        <v>14</v>
      </c>
      <c r="C8" s="8">
        <v>45126</v>
      </c>
      <c r="D8" s="4" t="s">
        <v>16</v>
      </c>
      <c r="E8" s="10">
        <v>-15400</v>
      </c>
      <c r="F8" s="9">
        <v>0</v>
      </c>
      <c r="G8" s="9">
        <v>0</v>
      </c>
      <c r="H8" s="9">
        <v>0</v>
      </c>
      <c r="I8" s="10">
        <v>-15400</v>
      </c>
    </row>
    <row r="9" spans="1:9" x14ac:dyDescent="0.25">
      <c r="A9" s="3"/>
      <c r="B9" s="4" t="s">
        <v>17</v>
      </c>
      <c r="C9" s="8">
        <v>45604</v>
      </c>
      <c r="D9" s="4" t="s">
        <v>13</v>
      </c>
      <c r="E9" s="9">
        <v>37470.800000000003</v>
      </c>
      <c r="F9" s="9">
        <v>0</v>
      </c>
      <c r="G9" s="9">
        <v>0</v>
      </c>
      <c r="H9" s="9">
        <v>0</v>
      </c>
      <c r="I9" s="9">
        <v>37470.800000000003</v>
      </c>
    </row>
    <row r="10" spans="1:9" x14ac:dyDescent="0.25">
      <c r="A10" s="3"/>
      <c r="B10" s="4" t="s">
        <v>18</v>
      </c>
      <c r="C10" s="8">
        <v>45671</v>
      </c>
      <c r="D10" s="4" t="s">
        <v>16</v>
      </c>
      <c r="E10" s="10">
        <v>-17470.8</v>
      </c>
      <c r="F10" s="9">
        <v>0</v>
      </c>
      <c r="G10" s="9">
        <v>0</v>
      </c>
      <c r="H10" s="9">
        <v>0</v>
      </c>
      <c r="I10" s="10">
        <v>-17470.8</v>
      </c>
    </row>
    <row r="11" spans="1:9" x14ac:dyDescent="0.25">
      <c r="A11" s="3"/>
      <c r="B11" s="4" t="s">
        <v>19</v>
      </c>
      <c r="C11" s="8">
        <v>45736</v>
      </c>
      <c r="D11" s="4" t="s">
        <v>16</v>
      </c>
      <c r="E11" s="10">
        <v>-20000</v>
      </c>
      <c r="F11" s="9">
        <v>0</v>
      </c>
      <c r="G11" s="9">
        <v>0</v>
      </c>
      <c r="H11" s="9">
        <v>0</v>
      </c>
      <c r="I11" s="10">
        <v>-20000</v>
      </c>
    </row>
    <row r="12" spans="1:9" x14ac:dyDescent="0.25">
      <c r="A12" s="3"/>
      <c r="B12" s="4" t="s">
        <v>20</v>
      </c>
      <c r="C12" s="8">
        <v>45688</v>
      </c>
      <c r="D12" s="4" t="s">
        <v>13</v>
      </c>
      <c r="E12" s="9">
        <v>212</v>
      </c>
      <c r="F12" s="9">
        <v>0</v>
      </c>
      <c r="G12" s="9">
        <v>212</v>
      </c>
      <c r="H12" s="9">
        <v>0</v>
      </c>
      <c r="I12" s="9">
        <v>0</v>
      </c>
    </row>
    <row r="13" spans="1:9" x14ac:dyDescent="0.25">
      <c r="A13" s="3"/>
      <c r="B13" s="4" t="s">
        <v>21</v>
      </c>
      <c r="C13" s="8">
        <v>45716</v>
      </c>
      <c r="D13" s="4" t="s">
        <v>13</v>
      </c>
      <c r="E13" s="9">
        <v>201.4</v>
      </c>
      <c r="F13" s="9">
        <v>0</v>
      </c>
      <c r="G13" s="9">
        <v>201.4</v>
      </c>
      <c r="H13" s="9">
        <v>0</v>
      </c>
      <c r="I13" s="9">
        <v>0</v>
      </c>
    </row>
    <row r="14" spans="1:9" x14ac:dyDescent="0.25">
      <c r="A14" s="3"/>
      <c r="B14" s="4" t="s">
        <v>22</v>
      </c>
      <c r="C14" s="8">
        <v>45747</v>
      </c>
      <c r="D14" s="4" t="s">
        <v>13</v>
      </c>
      <c r="E14" s="11">
        <v>201.4</v>
      </c>
      <c r="F14" s="11">
        <v>201.4</v>
      </c>
      <c r="G14" s="11">
        <v>0</v>
      </c>
      <c r="H14" s="11">
        <v>0</v>
      </c>
      <c r="I14" s="11">
        <v>0</v>
      </c>
    </row>
    <row r="16" spans="1:9" x14ac:dyDescent="0.25">
      <c r="A16" s="7" t="s">
        <v>23</v>
      </c>
      <c r="B16" s="3"/>
      <c r="C16" s="3"/>
      <c r="D16" s="3"/>
      <c r="E16" s="9">
        <f>SUBTOTAL(9,E6:E14)</f>
        <v>614.80000000000359</v>
      </c>
      <c r="F16" s="9">
        <f>SUBTOTAL(9,F6:F14)</f>
        <v>201.4</v>
      </c>
      <c r="G16" s="9">
        <f>SUBTOTAL(9,G6:G14)</f>
        <v>413.4</v>
      </c>
      <c r="H16" s="9">
        <f>SUBTOTAL(9,H6:H14)</f>
        <v>0</v>
      </c>
      <c r="I16" s="9">
        <f>SUBTOTAL(9,I6:I14)</f>
        <v>3.637978807091713E-12</v>
      </c>
    </row>
    <row r="18" spans="1:9" x14ac:dyDescent="0.25">
      <c r="A18" s="7" t="s">
        <v>24</v>
      </c>
    </row>
    <row r="19" spans="1:9" x14ac:dyDescent="0.25">
      <c r="A19" s="3"/>
      <c r="B19" s="4" t="s">
        <v>25</v>
      </c>
      <c r="C19" s="8">
        <v>45272</v>
      </c>
      <c r="D19" s="4" t="s">
        <v>13</v>
      </c>
      <c r="E19" s="9">
        <v>25456.2</v>
      </c>
      <c r="F19" s="9">
        <v>0</v>
      </c>
      <c r="G19" s="9">
        <v>0</v>
      </c>
      <c r="H19" s="9">
        <v>0</v>
      </c>
      <c r="I19" s="9">
        <v>25456.2</v>
      </c>
    </row>
    <row r="20" spans="1:9" x14ac:dyDescent="0.25">
      <c r="A20" s="3"/>
      <c r="B20" s="4" t="s">
        <v>14</v>
      </c>
      <c r="C20" s="8">
        <v>45272</v>
      </c>
      <c r="D20" s="4" t="s">
        <v>15</v>
      </c>
      <c r="E20" s="10">
        <v>-446.6</v>
      </c>
      <c r="F20" s="9">
        <v>0</v>
      </c>
      <c r="G20" s="9">
        <v>0</v>
      </c>
      <c r="H20" s="9">
        <v>0</v>
      </c>
      <c r="I20" s="10">
        <v>-446.6</v>
      </c>
    </row>
    <row r="21" spans="1:9" x14ac:dyDescent="0.25">
      <c r="A21" s="3"/>
      <c r="B21" s="4" t="s">
        <v>14</v>
      </c>
      <c r="C21" s="8">
        <v>45272</v>
      </c>
      <c r="D21" s="4" t="s">
        <v>16</v>
      </c>
      <c r="E21" s="10">
        <v>-25009.599999999999</v>
      </c>
      <c r="F21" s="9">
        <v>0</v>
      </c>
      <c r="G21" s="9">
        <v>0</v>
      </c>
      <c r="H21" s="9">
        <v>0</v>
      </c>
      <c r="I21" s="10">
        <v>-25009.599999999999</v>
      </c>
    </row>
    <row r="22" spans="1:9" x14ac:dyDescent="0.25">
      <c r="A22" s="3"/>
      <c r="B22" s="4" t="s">
        <v>26</v>
      </c>
      <c r="C22" s="8">
        <v>45329</v>
      </c>
      <c r="D22" s="4" t="s">
        <v>13</v>
      </c>
      <c r="E22" s="9">
        <v>21858.48</v>
      </c>
      <c r="F22" s="9">
        <v>0</v>
      </c>
      <c r="G22" s="9">
        <v>0</v>
      </c>
      <c r="H22" s="9">
        <v>0</v>
      </c>
      <c r="I22" s="9">
        <v>21858.48</v>
      </c>
    </row>
    <row r="23" spans="1:9" x14ac:dyDescent="0.25">
      <c r="A23" s="3"/>
      <c r="B23" s="4" t="s">
        <v>27</v>
      </c>
      <c r="C23" s="8">
        <v>45366</v>
      </c>
      <c r="D23" s="4" t="s">
        <v>16</v>
      </c>
      <c r="E23" s="10">
        <v>-21858.48</v>
      </c>
      <c r="F23" s="9">
        <v>0</v>
      </c>
      <c r="G23" s="9">
        <v>0</v>
      </c>
      <c r="H23" s="9">
        <v>0</v>
      </c>
      <c r="I23" s="10">
        <v>-21858.48</v>
      </c>
    </row>
    <row r="24" spans="1:9" x14ac:dyDescent="0.25">
      <c r="A24" s="3"/>
      <c r="B24" s="4" t="s">
        <v>28</v>
      </c>
      <c r="C24" s="8">
        <v>45460</v>
      </c>
      <c r="D24" s="4" t="s">
        <v>13</v>
      </c>
      <c r="E24" s="9">
        <v>17120</v>
      </c>
      <c r="F24" s="9">
        <v>0</v>
      </c>
      <c r="G24" s="9">
        <v>0</v>
      </c>
      <c r="H24" s="9">
        <v>0</v>
      </c>
      <c r="I24" s="9">
        <v>17120</v>
      </c>
    </row>
    <row r="25" spans="1:9" x14ac:dyDescent="0.25">
      <c r="A25" s="3"/>
      <c r="B25" s="4" t="s">
        <v>29</v>
      </c>
      <c r="C25" s="8">
        <v>45620</v>
      </c>
      <c r="D25" s="4" t="s">
        <v>16</v>
      </c>
      <c r="E25" s="10">
        <v>-17120</v>
      </c>
      <c r="F25" s="9">
        <v>0</v>
      </c>
      <c r="G25" s="9">
        <v>0</v>
      </c>
      <c r="H25" s="9">
        <v>0</v>
      </c>
      <c r="I25" s="10">
        <v>-17120</v>
      </c>
    </row>
    <row r="26" spans="1:9" x14ac:dyDescent="0.25">
      <c r="A26" s="3"/>
      <c r="B26" s="4" t="s">
        <v>30</v>
      </c>
      <c r="C26" s="8">
        <v>45613</v>
      </c>
      <c r="D26" s="4" t="s">
        <v>13</v>
      </c>
      <c r="E26" s="9">
        <v>19235.099999999999</v>
      </c>
      <c r="F26" s="9">
        <v>0</v>
      </c>
      <c r="G26" s="9">
        <v>0</v>
      </c>
      <c r="H26" s="9">
        <v>0</v>
      </c>
      <c r="I26" s="9">
        <v>19235.099999999999</v>
      </c>
    </row>
    <row r="27" spans="1:9" x14ac:dyDescent="0.25">
      <c r="A27" s="3"/>
      <c r="B27" s="4" t="s">
        <v>31</v>
      </c>
      <c r="C27" s="8">
        <v>45701</v>
      </c>
      <c r="D27" s="4" t="s">
        <v>16</v>
      </c>
      <c r="E27" s="10">
        <v>-19235.099999999999</v>
      </c>
      <c r="F27" s="9">
        <v>0</v>
      </c>
      <c r="G27" s="9">
        <v>0</v>
      </c>
      <c r="H27" s="9">
        <v>0</v>
      </c>
      <c r="I27" s="10">
        <v>-19235.099999999999</v>
      </c>
    </row>
    <row r="28" spans="1:9" x14ac:dyDescent="0.25">
      <c r="A28" s="3"/>
      <c r="B28" s="4" t="s">
        <v>32</v>
      </c>
      <c r="C28" s="8">
        <v>45688</v>
      </c>
      <c r="D28" s="4" t="s">
        <v>13</v>
      </c>
      <c r="E28" s="9">
        <v>229.67</v>
      </c>
      <c r="F28" s="9">
        <v>0</v>
      </c>
      <c r="G28" s="9">
        <v>229.67</v>
      </c>
      <c r="H28" s="9">
        <v>0</v>
      </c>
      <c r="I28" s="9">
        <v>0</v>
      </c>
    </row>
    <row r="29" spans="1:9" x14ac:dyDescent="0.25">
      <c r="A29" s="3"/>
      <c r="B29" s="4" t="s">
        <v>33</v>
      </c>
      <c r="C29" s="8">
        <v>45716</v>
      </c>
      <c r="D29" s="4" t="s">
        <v>13</v>
      </c>
      <c r="E29" s="9">
        <v>214.35</v>
      </c>
      <c r="F29" s="9">
        <v>0</v>
      </c>
      <c r="G29" s="9">
        <v>214.35</v>
      </c>
      <c r="H29" s="9">
        <v>0</v>
      </c>
      <c r="I29" s="9">
        <v>0</v>
      </c>
    </row>
    <row r="30" spans="1:9" x14ac:dyDescent="0.25">
      <c r="A30" s="3"/>
      <c r="B30" s="4" t="s">
        <v>34</v>
      </c>
      <c r="C30" s="8">
        <v>45733</v>
      </c>
      <c r="D30" s="4" t="s">
        <v>13</v>
      </c>
      <c r="E30" s="9">
        <v>18020</v>
      </c>
      <c r="F30" s="9">
        <v>18020</v>
      </c>
      <c r="G30" s="9">
        <v>0</v>
      </c>
      <c r="H30" s="9">
        <v>0</v>
      </c>
      <c r="I30" s="9">
        <v>0</v>
      </c>
    </row>
    <row r="31" spans="1:9" x14ac:dyDescent="0.25">
      <c r="A31" s="3"/>
      <c r="B31" s="4" t="s">
        <v>35</v>
      </c>
      <c r="C31" s="8">
        <v>45747</v>
      </c>
      <c r="D31" s="4" t="s">
        <v>13</v>
      </c>
      <c r="E31" s="11">
        <v>166.06</v>
      </c>
      <c r="F31" s="11">
        <v>166.06</v>
      </c>
      <c r="G31" s="11">
        <v>0</v>
      </c>
      <c r="H31" s="11">
        <v>0</v>
      </c>
      <c r="I31" s="11">
        <v>0</v>
      </c>
    </row>
    <row r="33" spans="1:9" x14ac:dyDescent="0.25">
      <c r="A33" s="7" t="s">
        <v>23</v>
      </c>
      <c r="B33" s="3"/>
      <c r="C33" s="3"/>
      <c r="D33" s="3"/>
      <c r="E33" s="9">
        <f>SUBTOTAL(9,E19:E31)</f>
        <v>18630.080000000005</v>
      </c>
      <c r="F33" s="9">
        <f>SUBTOTAL(9,F19:F31)</f>
        <v>18186.060000000001</v>
      </c>
      <c r="G33" s="9">
        <f>SUBTOTAL(9,G19:G31)</f>
        <v>444.02</v>
      </c>
      <c r="H33" s="9">
        <f>SUBTOTAL(9,H19:H31)</f>
        <v>0</v>
      </c>
      <c r="I33" s="9">
        <f>SUBTOTAL(9,I19:I31)</f>
        <v>3.637978807091713E-12</v>
      </c>
    </row>
    <row r="35" spans="1:9" x14ac:dyDescent="0.25">
      <c r="A35" s="7" t="s">
        <v>36</v>
      </c>
    </row>
    <row r="36" spans="1:9" x14ac:dyDescent="0.25">
      <c r="A36" s="3"/>
      <c r="B36" s="4" t="s">
        <v>37</v>
      </c>
      <c r="C36" s="8">
        <v>45130</v>
      </c>
      <c r="D36" s="4" t="s">
        <v>13</v>
      </c>
      <c r="E36" s="9">
        <v>5493</v>
      </c>
      <c r="F36" s="9">
        <v>0</v>
      </c>
      <c r="G36" s="9">
        <v>0</v>
      </c>
      <c r="H36" s="9">
        <v>0</v>
      </c>
      <c r="I36" s="9">
        <v>5493</v>
      </c>
    </row>
    <row r="37" spans="1:9" x14ac:dyDescent="0.25">
      <c r="A37" s="3"/>
      <c r="B37" s="4" t="s">
        <v>38</v>
      </c>
      <c r="C37" s="8">
        <v>45168</v>
      </c>
      <c r="D37" s="4" t="s">
        <v>16</v>
      </c>
      <c r="E37" s="10">
        <v>-5493</v>
      </c>
      <c r="F37" s="9">
        <v>0</v>
      </c>
      <c r="G37" s="9">
        <v>0</v>
      </c>
      <c r="H37" s="9">
        <v>0</v>
      </c>
      <c r="I37" s="10">
        <v>-5493</v>
      </c>
    </row>
    <row r="38" spans="1:9" x14ac:dyDescent="0.25">
      <c r="A38" s="3"/>
      <c r="B38" s="4" t="s">
        <v>39</v>
      </c>
      <c r="C38" s="8">
        <v>45144</v>
      </c>
      <c r="D38" s="4" t="s">
        <v>13</v>
      </c>
      <c r="E38" s="9">
        <v>1237.1199999999999</v>
      </c>
      <c r="F38" s="9">
        <v>0</v>
      </c>
      <c r="G38" s="9">
        <v>0</v>
      </c>
      <c r="H38" s="9">
        <v>0</v>
      </c>
      <c r="I38" s="9">
        <v>1237.1199999999999</v>
      </c>
    </row>
    <row r="39" spans="1:9" x14ac:dyDescent="0.25">
      <c r="A39" s="3"/>
      <c r="B39" s="4" t="s">
        <v>38</v>
      </c>
      <c r="C39" s="8">
        <v>45168</v>
      </c>
      <c r="D39" s="4" t="s">
        <v>15</v>
      </c>
      <c r="E39" s="10">
        <v>-24.74</v>
      </c>
      <c r="F39" s="9">
        <v>0</v>
      </c>
      <c r="G39" s="9">
        <v>0</v>
      </c>
      <c r="H39" s="9">
        <v>0</v>
      </c>
      <c r="I39" s="10">
        <v>-24.74</v>
      </c>
    </row>
    <row r="40" spans="1:9" x14ac:dyDescent="0.25">
      <c r="A40" s="3"/>
      <c r="B40" s="4" t="s">
        <v>38</v>
      </c>
      <c r="C40" s="8">
        <v>45168</v>
      </c>
      <c r="D40" s="4" t="s">
        <v>16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</row>
    <row r="41" spans="1:9" x14ac:dyDescent="0.25">
      <c r="A41" s="3"/>
      <c r="B41" s="4" t="s">
        <v>40</v>
      </c>
      <c r="C41" s="8">
        <v>45194</v>
      </c>
      <c r="D41" s="4" t="s">
        <v>16</v>
      </c>
      <c r="E41" s="10">
        <v>-1212.3800000000001</v>
      </c>
      <c r="F41" s="9">
        <v>0</v>
      </c>
      <c r="G41" s="9">
        <v>0</v>
      </c>
      <c r="H41" s="9">
        <v>0</v>
      </c>
      <c r="I41" s="10">
        <v>-1212.3800000000001</v>
      </c>
    </row>
    <row r="42" spans="1:9" x14ac:dyDescent="0.25">
      <c r="A42" s="3"/>
      <c r="B42" s="4" t="s">
        <v>41</v>
      </c>
      <c r="C42" s="8">
        <v>45426</v>
      </c>
      <c r="D42" s="4" t="s">
        <v>13</v>
      </c>
      <c r="E42" s="9">
        <v>87820</v>
      </c>
      <c r="F42" s="9">
        <v>0</v>
      </c>
      <c r="G42" s="9">
        <v>0</v>
      </c>
      <c r="H42" s="9">
        <v>0</v>
      </c>
      <c r="I42" s="9">
        <v>87820</v>
      </c>
    </row>
    <row r="43" spans="1:9" x14ac:dyDescent="0.25">
      <c r="A43" s="3"/>
      <c r="B43" s="4" t="s">
        <v>42</v>
      </c>
      <c r="C43" s="8">
        <v>45532</v>
      </c>
      <c r="D43" s="4" t="s">
        <v>16</v>
      </c>
      <c r="E43" s="10">
        <v>-87820</v>
      </c>
      <c r="F43" s="9">
        <v>0</v>
      </c>
      <c r="G43" s="9">
        <v>0</v>
      </c>
      <c r="H43" s="9">
        <v>0</v>
      </c>
      <c r="I43" s="10">
        <v>-87820</v>
      </c>
    </row>
    <row r="44" spans="1:9" x14ac:dyDescent="0.25">
      <c r="A44" s="3"/>
      <c r="B44" s="4" t="s">
        <v>43</v>
      </c>
      <c r="C44" s="8">
        <v>45431</v>
      </c>
      <c r="D44" s="4" t="s">
        <v>13</v>
      </c>
      <c r="E44" s="9">
        <v>9567.5</v>
      </c>
      <c r="F44" s="9">
        <v>0</v>
      </c>
      <c r="G44" s="9">
        <v>0</v>
      </c>
      <c r="H44" s="9">
        <v>0</v>
      </c>
      <c r="I44" s="9">
        <v>9567.5</v>
      </c>
    </row>
    <row r="45" spans="1:9" x14ac:dyDescent="0.25">
      <c r="A45" s="3"/>
      <c r="B45" s="4" t="s">
        <v>42</v>
      </c>
      <c r="C45" s="8">
        <v>45532</v>
      </c>
      <c r="D45" s="4" t="s">
        <v>16</v>
      </c>
      <c r="E45" s="10">
        <v>-9567.5</v>
      </c>
      <c r="F45" s="9">
        <v>0</v>
      </c>
      <c r="G45" s="9">
        <v>0</v>
      </c>
      <c r="H45" s="9">
        <v>0</v>
      </c>
      <c r="I45" s="10">
        <v>-9567.5</v>
      </c>
    </row>
    <row r="46" spans="1:9" x14ac:dyDescent="0.25">
      <c r="A46" s="3"/>
      <c r="B46" s="4" t="s">
        <v>44</v>
      </c>
      <c r="C46" s="8">
        <v>45651</v>
      </c>
      <c r="D46" s="4" t="s">
        <v>13</v>
      </c>
      <c r="E46" s="9">
        <v>5642.66</v>
      </c>
      <c r="F46" s="9">
        <v>0</v>
      </c>
      <c r="G46" s="9">
        <v>0</v>
      </c>
      <c r="H46" s="9">
        <v>0</v>
      </c>
      <c r="I46" s="9">
        <v>5642.66</v>
      </c>
    </row>
    <row r="47" spans="1:9" x14ac:dyDescent="0.25">
      <c r="A47" s="3"/>
      <c r="B47" s="4" t="s">
        <v>45</v>
      </c>
      <c r="C47" s="8">
        <v>45689</v>
      </c>
      <c r="D47" s="4" t="s">
        <v>16</v>
      </c>
      <c r="E47" s="10">
        <v>-5642.66</v>
      </c>
      <c r="F47" s="9">
        <v>0</v>
      </c>
      <c r="G47" s="9">
        <v>0</v>
      </c>
      <c r="H47" s="9">
        <v>0</v>
      </c>
      <c r="I47" s="10">
        <v>-5642.66</v>
      </c>
    </row>
    <row r="48" spans="1:9" x14ac:dyDescent="0.25">
      <c r="A48" s="3"/>
      <c r="B48" s="4" t="s">
        <v>46</v>
      </c>
      <c r="C48" s="8">
        <v>45666</v>
      </c>
      <c r="D48" s="4" t="s">
        <v>13</v>
      </c>
      <c r="E48" s="9">
        <v>49594.5</v>
      </c>
      <c r="F48" s="9">
        <v>0</v>
      </c>
      <c r="G48" s="9">
        <v>0</v>
      </c>
      <c r="H48" s="9">
        <v>49594.5</v>
      </c>
      <c r="I48" s="9">
        <v>0</v>
      </c>
    </row>
    <row r="49" spans="1:9" x14ac:dyDescent="0.25">
      <c r="A49" s="3"/>
      <c r="B49" s="4" t="s">
        <v>45</v>
      </c>
      <c r="C49" s="8">
        <v>45689</v>
      </c>
      <c r="D49" s="4" t="s">
        <v>16</v>
      </c>
      <c r="E49" s="10">
        <v>-49594.5</v>
      </c>
      <c r="F49" s="9">
        <v>0</v>
      </c>
      <c r="G49" s="9">
        <v>0</v>
      </c>
      <c r="H49" s="10">
        <v>-49594.5</v>
      </c>
      <c r="I49" s="9">
        <v>0</v>
      </c>
    </row>
    <row r="50" spans="1:9" x14ac:dyDescent="0.25">
      <c r="A50" s="3"/>
      <c r="B50" s="4" t="s">
        <v>47</v>
      </c>
      <c r="C50" s="8">
        <v>45705</v>
      </c>
      <c r="D50" s="4" t="s">
        <v>13</v>
      </c>
      <c r="E50" s="9">
        <v>11325.5</v>
      </c>
      <c r="F50" s="9">
        <v>0</v>
      </c>
      <c r="G50" s="9">
        <v>11325.5</v>
      </c>
      <c r="H50" s="9">
        <v>0</v>
      </c>
      <c r="I50" s="9">
        <v>0</v>
      </c>
    </row>
    <row r="51" spans="1:9" x14ac:dyDescent="0.25">
      <c r="A51" s="3"/>
      <c r="B51" s="4" t="s">
        <v>48</v>
      </c>
      <c r="C51" s="8">
        <v>45726</v>
      </c>
      <c r="D51" s="4" t="s">
        <v>15</v>
      </c>
      <c r="E51" s="10">
        <v>-226.51</v>
      </c>
      <c r="F51" s="9">
        <v>0</v>
      </c>
      <c r="G51" s="10">
        <v>-226.51</v>
      </c>
      <c r="H51" s="9">
        <v>0</v>
      </c>
      <c r="I51" s="9">
        <v>0</v>
      </c>
    </row>
    <row r="52" spans="1:9" x14ac:dyDescent="0.25">
      <c r="A52" s="3"/>
      <c r="B52" s="4" t="s">
        <v>48</v>
      </c>
      <c r="C52" s="8">
        <v>45726</v>
      </c>
      <c r="D52" s="4" t="s">
        <v>16</v>
      </c>
      <c r="E52" s="10">
        <v>-11098.99</v>
      </c>
      <c r="F52" s="9">
        <v>0</v>
      </c>
      <c r="G52" s="10">
        <v>-11098.99</v>
      </c>
      <c r="H52" s="9">
        <v>0</v>
      </c>
      <c r="I52" s="9">
        <v>0</v>
      </c>
    </row>
    <row r="53" spans="1:9" x14ac:dyDescent="0.25">
      <c r="A53" s="3"/>
      <c r="B53" s="4" t="s">
        <v>49</v>
      </c>
      <c r="C53" s="8">
        <v>45712</v>
      </c>
      <c r="D53" s="4" t="s">
        <v>13</v>
      </c>
      <c r="E53" s="9">
        <v>28000</v>
      </c>
      <c r="F53" s="9">
        <v>0</v>
      </c>
      <c r="G53" s="9">
        <v>28000</v>
      </c>
      <c r="H53" s="9">
        <v>0</v>
      </c>
      <c r="I53" s="9">
        <v>0</v>
      </c>
    </row>
    <row r="54" spans="1:9" x14ac:dyDescent="0.25">
      <c r="A54" s="3"/>
      <c r="B54" s="4" t="s">
        <v>48</v>
      </c>
      <c r="C54" s="8">
        <v>45726</v>
      </c>
      <c r="D54" s="4" t="s">
        <v>16</v>
      </c>
      <c r="E54" s="10">
        <v>-14000</v>
      </c>
      <c r="F54" s="9">
        <v>0</v>
      </c>
      <c r="G54" s="10">
        <v>-14000</v>
      </c>
      <c r="H54" s="9">
        <v>0</v>
      </c>
      <c r="I54" s="9">
        <v>0</v>
      </c>
    </row>
    <row r="55" spans="1:9" x14ac:dyDescent="0.25">
      <c r="A55" s="3"/>
      <c r="B55" s="4" t="s">
        <v>50</v>
      </c>
      <c r="C55" s="8">
        <v>45747</v>
      </c>
      <c r="D55" s="4" t="s">
        <v>51</v>
      </c>
      <c r="E55" s="11">
        <v>200</v>
      </c>
      <c r="F55" s="11">
        <v>200</v>
      </c>
      <c r="G55" s="11">
        <v>0</v>
      </c>
      <c r="H55" s="11">
        <v>0</v>
      </c>
      <c r="I55" s="11">
        <v>0</v>
      </c>
    </row>
    <row r="57" spans="1:9" x14ac:dyDescent="0.25">
      <c r="A57" s="7" t="s">
        <v>23</v>
      </c>
      <c r="B57" s="3"/>
      <c r="C57" s="3"/>
      <c r="D57" s="3"/>
      <c r="E57" s="9">
        <f>SUBTOTAL(9,E36:E55)</f>
        <v>14200</v>
      </c>
      <c r="F57" s="9">
        <f>SUBTOTAL(9,F36:F55)</f>
        <v>200</v>
      </c>
      <c r="G57" s="9">
        <f>SUBTOTAL(9,G36:G55)</f>
        <v>14000</v>
      </c>
      <c r="H57" s="9">
        <f>SUBTOTAL(9,H36:H55)</f>
        <v>0</v>
      </c>
      <c r="I57" s="9">
        <f>SUBTOTAL(9,I36:I55)</f>
        <v>0</v>
      </c>
    </row>
    <row r="59" spans="1:9" x14ac:dyDescent="0.25">
      <c r="A59" s="7" t="s">
        <v>52</v>
      </c>
    </row>
    <row r="60" spans="1:9" x14ac:dyDescent="0.25">
      <c r="A60" s="3"/>
      <c r="B60" s="4" t="s">
        <v>53</v>
      </c>
      <c r="C60" s="8">
        <v>45231</v>
      </c>
      <c r="D60" s="4" t="s">
        <v>13</v>
      </c>
      <c r="E60" s="9">
        <v>20879.099999999999</v>
      </c>
      <c r="F60" s="9">
        <v>0</v>
      </c>
      <c r="G60" s="9">
        <v>0</v>
      </c>
      <c r="H60" s="9">
        <v>0</v>
      </c>
      <c r="I60" s="9">
        <v>20879.099999999999</v>
      </c>
    </row>
    <row r="61" spans="1:9" x14ac:dyDescent="0.25">
      <c r="A61" s="3"/>
      <c r="B61" s="4" t="s">
        <v>54</v>
      </c>
      <c r="C61" s="8">
        <v>45284</v>
      </c>
      <c r="D61" s="4" t="s">
        <v>16</v>
      </c>
      <c r="E61" s="10">
        <v>-20879.099999999999</v>
      </c>
      <c r="F61" s="9">
        <v>0</v>
      </c>
      <c r="G61" s="9">
        <v>0</v>
      </c>
      <c r="H61" s="9">
        <v>0</v>
      </c>
      <c r="I61" s="10">
        <v>-20879.099999999999</v>
      </c>
    </row>
    <row r="62" spans="1:9" x14ac:dyDescent="0.25">
      <c r="A62" s="3"/>
      <c r="B62" s="4" t="s">
        <v>55</v>
      </c>
      <c r="C62" s="8">
        <v>45356</v>
      </c>
      <c r="D62" s="4" t="s">
        <v>13</v>
      </c>
      <c r="E62" s="9">
        <v>31350</v>
      </c>
      <c r="F62" s="9">
        <v>0</v>
      </c>
      <c r="G62" s="9">
        <v>0</v>
      </c>
      <c r="H62" s="9">
        <v>0</v>
      </c>
      <c r="I62" s="9">
        <v>31350</v>
      </c>
    </row>
    <row r="63" spans="1:9" x14ac:dyDescent="0.25">
      <c r="A63" s="3"/>
      <c r="B63" s="4" t="s">
        <v>56</v>
      </c>
      <c r="C63" s="8">
        <v>45397</v>
      </c>
      <c r="D63" s="4" t="s">
        <v>16</v>
      </c>
      <c r="E63" s="10">
        <v>-31350</v>
      </c>
      <c r="F63" s="9">
        <v>0</v>
      </c>
      <c r="G63" s="9">
        <v>0</v>
      </c>
      <c r="H63" s="9">
        <v>0</v>
      </c>
      <c r="I63" s="10">
        <v>-31350</v>
      </c>
    </row>
    <row r="64" spans="1:9" x14ac:dyDescent="0.25">
      <c r="A64" s="3"/>
      <c r="B64" s="4" t="s">
        <v>57</v>
      </c>
      <c r="C64" s="8">
        <v>45574</v>
      </c>
      <c r="D64" s="4" t="s">
        <v>13</v>
      </c>
      <c r="E64" s="9">
        <v>8986.77</v>
      </c>
      <c r="F64" s="9">
        <v>0</v>
      </c>
      <c r="G64" s="9">
        <v>0</v>
      </c>
      <c r="H64" s="9">
        <v>0</v>
      </c>
      <c r="I64" s="9">
        <v>8986.77</v>
      </c>
    </row>
    <row r="65" spans="1:9" x14ac:dyDescent="0.25">
      <c r="A65" s="3"/>
      <c r="B65" s="4" t="s">
        <v>14</v>
      </c>
      <c r="C65" s="8">
        <v>45574</v>
      </c>
      <c r="D65" s="4" t="s">
        <v>15</v>
      </c>
      <c r="E65" s="10">
        <v>-160.08000000000001</v>
      </c>
      <c r="F65" s="9">
        <v>0</v>
      </c>
      <c r="G65" s="9">
        <v>0</v>
      </c>
      <c r="H65" s="9">
        <v>0</v>
      </c>
      <c r="I65" s="10">
        <v>-160.08000000000001</v>
      </c>
    </row>
    <row r="66" spans="1:9" x14ac:dyDescent="0.25">
      <c r="A66" s="3"/>
      <c r="B66" s="4" t="s">
        <v>14</v>
      </c>
      <c r="C66" s="8">
        <v>45574</v>
      </c>
      <c r="D66" s="4" t="s">
        <v>16</v>
      </c>
      <c r="E66" s="10">
        <v>-8826.69</v>
      </c>
      <c r="F66" s="9">
        <v>0</v>
      </c>
      <c r="G66" s="9">
        <v>0</v>
      </c>
      <c r="H66" s="9">
        <v>0</v>
      </c>
      <c r="I66" s="10">
        <v>-8826.69</v>
      </c>
    </row>
    <row r="67" spans="1:9" x14ac:dyDescent="0.25">
      <c r="A67" s="3"/>
      <c r="B67" s="4" t="s">
        <v>58</v>
      </c>
      <c r="C67" s="8">
        <v>45641</v>
      </c>
      <c r="D67" s="4" t="s">
        <v>13</v>
      </c>
      <c r="E67" s="9">
        <v>45553.1</v>
      </c>
      <c r="F67" s="9">
        <v>0</v>
      </c>
      <c r="G67" s="9">
        <v>0</v>
      </c>
      <c r="H67" s="9">
        <v>0</v>
      </c>
      <c r="I67" s="9">
        <v>45553.1</v>
      </c>
    </row>
    <row r="68" spans="1:9" x14ac:dyDescent="0.25">
      <c r="A68" s="3"/>
      <c r="B68" s="4" t="s">
        <v>59</v>
      </c>
      <c r="C68" s="8">
        <v>45672</v>
      </c>
      <c r="D68" s="4" t="s">
        <v>16</v>
      </c>
      <c r="E68" s="10">
        <v>-25000</v>
      </c>
      <c r="F68" s="9">
        <v>0</v>
      </c>
      <c r="G68" s="9">
        <v>0</v>
      </c>
      <c r="H68" s="9">
        <v>0</v>
      </c>
      <c r="I68" s="10">
        <v>-25000</v>
      </c>
    </row>
    <row r="69" spans="1:9" x14ac:dyDescent="0.25">
      <c r="A69" s="3"/>
      <c r="B69" s="4" t="s">
        <v>60</v>
      </c>
      <c r="C69" s="8">
        <v>45738</v>
      </c>
      <c r="D69" s="4" t="s">
        <v>16</v>
      </c>
      <c r="E69" s="12">
        <v>-20553.099999999999</v>
      </c>
      <c r="F69" s="11">
        <v>0</v>
      </c>
      <c r="G69" s="11">
        <v>0</v>
      </c>
      <c r="H69" s="11">
        <v>0</v>
      </c>
      <c r="I69" s="12">
        <v>-20553.099999999999</v>
      </c>
    </row>
    <row r="71" spans="1:9" x14ac:dyDescent="0.25">
      <c r="A71" s="7" t="s">
        <v>23</v>
      </c>
      <c r="B71" s="3"/>
      <c r="C71" s="3"/>
      <c r="D71" s="3"/>
      <c r="E71" s="9">
        <f>SUBTOTAL(9,E60:E69)</f>
        <v>0</v>
      </c>
      <c r="F71" s="9">
        <f>SUBTOTAL(9,F60:F69)</f>
        <v>0</v>
      </c>
      <c r="G71" s="9">
        <f>SUBTOTAL(9,G60:G69)</f>
        <v>0</v>
      </c>
      <c r="H71" s="9">
        <f>SUBTOTAL(9,H60:H69)</f>
        <v>0</v>
      </c>
      <c r="I71" s="9">
        <f>SUBTOTAL(9,I60:I69)</f>
        <v>0</v>
      </c>
    </row>
    <row r="73" spans="1:9" x14ac:dyDescent="0.25">
      <c r="A73" s="7" t="s">
        <v>61</v>
      </c>
    </row>
    <row r="74" spans="1:9" x14ac:dyDescent="0.25">
      <c r="A74" s="3"/>
      <c r="B74" s="4" t="s">
        <v>62</v>
      </c>
      <c r="C74" s="8">
        <v>45137</v>
      </c>
      <c r="D74" s="4" t="s">
        <v>13</v>
      </c>
      <c r="E74" s="9">
        <v>1162.8</v>
      </c>
      <c r="F74" s="9">
        <v>0</v>
      </c>
      <c r="G74" s="9">
        <v>0</v>
      </c>
      <c r="H74" s="9">
        <v>0</v>
      </c>
      <c r="I74" s="9">
        <v>1162.8</v>
      </c>
    </row>
    <row r="75" spans="1:9" x14ac:dyDescent="0.25">
      <c r="A75" s="3"/>
      <c r="B75" s="4" t="s">
        <v>63</v>
      </c>
      <c r="C75" s="8">
        <v>45248</v>
      </c>
      <c r="D75" s="4" t="s">
        <v>16</v>
      </c>
      <c r="E75" s="10">
        <v>-1162.8</v>
      </c>
      <c r="F75" s="9">
        <v>0</v>
      </c>
      <c r="G75" s="9">
        <v>0</v>
      </c>
      <c r="H75" s="9">
        <v>0</v>
      </c>
      <c r="I75" s="10">
        <v>-1162.8</v>
      </c>
    </row>
    <row r="76" spans="1:9" x14ac:dyDescent="0.25">
      <c r="A76" s="3"/>
      <c r="B76" s="4" t="s">
        <v>64</v>
      </c>
      <c r="C76" s="8">
        <v>45243</v>
      </c>
      <c r="D76" s="4" t="s">
        <v>13</v>
      </c>
      <c r="E76" s="9">
        <v>24610</v>
      </c>
      <c r="F76" s="9">
        <v>0</v>
      </c>
      <c r="G76" s="9">
        <v>0</v>
      </c>
      <c r="H76" s="9">
        <v>0</v>
      </c>
      <c r="I76" s="9">
        <v>24610</v>
      </c>
    </row>
    <row r="77" spans="1:9" x14ac:dyDescent="0.25">
      <c r="A77" s="3"/>
      <c r="B77" s="4" t="s">
        <v>65</v>
      </c>
      <c r="C77" s="8">
        <v>45305</v>
      </c>
      <c r="D77" s="4" t="s">
        <v>16</v>
      </c>
      <c r="E77" s="10">
        <v>-24610</v>
      </c>
      <c r="F77" s="9">
        <v>0</v>
      </c>
      <c r="G77" s="9">
        <v>0</v>
      </c>
      <c r="H77" s="9">
        <v>0</v>
      </c>
      <c r="I77" s="10">
        <v>-24610</v>
      </c>
    </row>
    <row r="78" spans="1:9" x14ac:dyDescent="0.25">
      <c r="A78" s="3"/>
      <c r="B78" s="4" t="s">
        <v>66</v>
      </c>
      <c r="C78" s="8">
        <v>45358</v>
      </c>
      <c r="D78" s="4" t="s">
        <v>13</v>
      </c>
      <c r="E78" s="9">
        <v>21437.7</v>
      </c>
      <c r="F78" s="9">
        <v>0</v>
      </c>
      <c r="G78" s="9">
        <v>0</v>
      </c>
      <c r="H78" s="9">
        <v>0</v>
      </c>
      <c r="I78" s="9">
        <v>21437.7</v>
      </c>
    </row>
    <row r="79" spans="1:9" x14ac:dyDescent="0.25">
      <c r="A79" s="3"/>
      <c r="B79" s="4" t="s">
        <v>67</v>
      </c>
      <c r="C79" s="8">
        <v>45397</v>
      </c>
      <c r="D79" s="4" t="s">
        <v>16</v>
      </c>
      <c r="E79" s="10">
        <v>-21437.7</v>
      </c>
      <c r="F79" s="9">
        <v>0</v>
      </c>
      <c r="G79" s="9">
        <v>0</v>
      </c>
      <c r="H79" s="9">
        <v>0</v>
      </c>
      <c r="I79" s="10">
        <v>-21437.7</v>
      </c>
    </row>
    <row r="80" spans="1:9" x14ac:dyDescent="0.25">
      <c r="A80" s="3"/>
      <c r="B80" s="4" t="s">
        <v>68</v>
      </c>
      <c r="C80" s="8">
        <v>45519</v>
      </c>
      <c r="D80" s="4" t="s">
        <v>13</v>
      </c>
      <c r="E80" s="9">
        <v>24380</v>
      </c>
      <c r="F80" s="9">
        <v>0</v>
      </c>
      <c r="G80" s="9">
        <v>0</v>
      </c>
      <c r="H80" s="9">
        <v>0</v>
      </c>
      <c r="I80" s="9">
        <v>24380</v>
      </c>
    </row>
    <row r="81" spans="1:9" x14ac:dyDescent="0.25">
      <c r="A81" s="3"/>
      <c r="B81" s="4" t="s">
        <v>69</v>
      </c>
      <c r="C81" s="8">
        <v>45579</v>
      </c>
      <c r="D81" s="4" t="s">
        <v>16</v>
      </c>
      <c r="E81" s="10">
        <v>-24380</v>
      </c>
      <c r="F81" s="9">
        <v>0</v>
      </c>
      <c r="G81" s="9">
        <v>0</v>
      </c>
      <c r="H81" s="9">
        <v>0</v>
      </c>
      <c r="I81" s="10">
        <v>-24380</v>
      </c>
    </row>
    <row r="82" spans="1:9" x14ac:dyDescent="0.25">
      <c r="A82" s="3"/>
      <c r="B82" s="4" t="s">
        <v>70</v>
      </c>
      <c r="C82" s="8">
        <v>45704</v>
      </c>
      <c r="D82" s="4" t="s">
        <v>13</v>
      </c>
      <c r="E82" s="11">
        <v>20966.05</v>
      </c>
      <c r="F82" s="11">
        <v>0</v>
      </c>
      <c r="G82" s="11">
        <v>20966.05</v>
      </c>
      <c r="H82" s="11">
        <v>0</v>
      </c>
      <c r="I82" s="11">
        <v>0</v>
      </c>
    </row>
    <row r="84" spans="1:9" x14ac:dyDescent="0.25">
      <c r="A84" s="7" t="s">
        <v>23</v>
      </c>
      <c r="B84" s="3"/>
      <c r="C84" s="3"/>
      <c r="D84" s="3"/>
      <c r="E84" s="9">
        <f>SUBTOTAL(9,E74:E82)</f>
        <v>20966.05</v>
      </c>
      <c r="F84" s="9">
        <f>SUBTOTAL(9,F74:F82)</f>
        <v>0</v>
      </c>
      <c r="G84" s="9">
        <f>SUBTOTAL(9,G74:G82)</f>
        <v>20966.05</v>
      </c>
      <c r="H84" s="9">
        <f>SUBTOTAL(9,H74:H82)</f>
        <v>0</v>
      </c>
      <c r="I84" s="9">
        <f>SUBTOTAL(9,I74:I82)</f>
        <v>0</v>
      </c>
    </row>
    <row r="86" spans="1:9" x14ac:dyDescent="0.25">
      <c r="A86" s="7" t="s">
        <v>71</v>
      </c>
    </row>
    <row r="87" spans="1:9" x14ac:dyDescent="0.25">
      <c r="A87" s="3"/>
      <c r="B87" s="4" t="s">
        <v>72</v>
      </c>
      <c r="C87" s="8">
        <v>45747</v>
      </c>
      <c r="D87" s="4" t="s">
        <v>13</v>
      </c>
      <c r="E87" s="11">
        <v>17078.38</v>
      </c>
      <c r="F87" s="11">
        <v>17078.38</v>
      </c>
      <c r="G87" s="11">
        <v>0</v>
      </c>
      <c r="H87" s="11">
        <v>0</v>
      </c>
      <c r="I87" s="11">
        <v>0</v>
      </c>
    </row>
    <row r="89" spans="1:9" x14ac:dyDescent="0.25">
      <c r="A89" s="7" t="s">
        <v>23</v>
      </c>
      <c r="B89" s="3"/>
      <c r="C89" s="3"/>
      <c r="D89" s="3"/>
      <c r="E89" s="9">
        <f>SUBTOTAL(9,E87:E87)</f>
        <v>17078.38</v>
      </c>
      <c r="F89" s="9">
        <f>SUBTOTAL(9,F87:F87)</f>
        <v>17078.38</v>
      </c>
      <c r="G89" s="9">
        <f>SUBTOTAL(9,G87:G87)</f>
        <v>0</v>
      </c>
      <c r="H89" s="9">
        <f>SUBTOTAL(9,H87:H87)</f>
        <v>0</v>
      </c>
      <c r="I89" s="9">
        <f>SUBTOTAL(9,I87:I87)</f>
        <v>0</v>
      </c>
    </row>
    <row r="91" spans="1:9" x14ac:dyDescent="0.25">
      <c r="A91" s="7" t="s">
        <v>73</v>
      </c>
    </row>
    <row r="92" spans="1:9" x14ac:dyDescent="0.25">
      <c r="A92" s="3"/>
      <c r="B92" s="4" t="s">
        <v>74</v>
      </c>
      <c r="C92" s="8">
        <v>45262</v>
      </c>
      <c r="D92" s="4" t="s">
        <v>13</v>
      </c>
      <c r="E92" s="9">
        <v>5885</v>
      </c>
      <c r="F92" s="9">
        <v>0</v>
      </c>
      <c r="G92" s="9">
        <v>0</v>
      </c>
      <c r="H92" s="9">
        <v>0</v>
      </c>
      <c r="I92" s="9">
        <v>5885</v>
      </c>
    </row>
    <row r="93" spans="1:9" x14ac:dyDescent="0.25">
      <c r="A93" s="3"/>
      <c r="B93" s="4" t="s">
        <v>75</v>
      </c>
      <c r="C93" s="8">
        <v>45301</v>
      </c>
      <c r="D93" s="4" t="s">
        <v>16</v>
      </c>
      <c r="E93" s="10">
        <v>-5885</v>
      </c>
      <c r="F93" s="9">
        <v>0</v>
      </c>
      <c r="G93" s="9">
        <v>0</v>
      </c>
      <c r="H93" s="9">
        <v>0</v>
      </c>
      <c r="I93" s="10">
        <v>-5885</v>
      </c>
    </row>
    <row r="94" spans="1:9" x14ac:dyDescent="0.25">
      <c r="A94" s="3"/>
      <c r="B94" s="4" t="s">
        <v>76</v>
      </c>
      <c r="C94" s="8">
        <v>45361</v>
      </c>
      <c r="D94" s="4" t="s">
        <v>13</v>
      </c>
      <c r="E94" s="9">
        <v>9849.35</v>
      </c>
      <c r="F94" s="9">
        <v>0</v>
      </c>
      <c r="G94" s="9">
        <v>0</v>
      </c>
      <c r="H94" s="9">
        <v>0</v>
      </c>
      <c r="I94" s="9">
        <v>9849.35</v>
      </c>
    </row>
    <row r="95" spans="1:9" x14ac:dyDescent="0.25">
      <c r="A95" s="3"/>
      <c r="B95" s="4" t="s">
        <v>77</v>
      </c>
      <c r="C95" s="8">
        <v>45399</v>
      </c>
      <c r="D95" s="4" t="s">
        <v>16</v>
      </c>
      <c r="E95" s="10">
        <v>-9849.35</v>
      </c>
      <c r="F95" s="9">
        <v>0</v>
      </c>
      <c r="G95" s="9">
        <v>0</v>
      </c>
      <c r="H95" s="9">
        <v>0</v>
      </c>
      <c r="I95" s="10">
        <v>-9849.35</v>
      </c>
    </row>
    <row r="96" spans="1:9" x14ac:dyDescent="0.25">
      <c r="A96" s="3"/>
      <c r="B96" s="4" t="s">
        <v>78</v>
      </c>
      <c r="C96" s="8">
        <v>45638</v>
      </c>
      <c r="D96" s="4" t="s">
        <v>13</v>
      </c>
      <c r="E96" s="9">
        <v>12147.6</v>
      </c>
      <c r="F96" s="9">
        <v>0</v>
      </c>
      <c r="G96" s="9">
        <v>0</v>
      </c>
      <c r="H96" s="9">
        <v>0</v>
      </c>
      <c r="I96" s="9">
        <v>12147.6</v>
      </c>
    </row>
    <row r="97" spans="1:9" x14ac:dyDescent="0.25">
      <c r="A97" s="3"/>
      <c r="B97" s="4" t="s">
        <v>79</v>
      </c>
      <c r="C97" s="8">
        <v>45674</v>
      </c>
      <c r="D97" s="4" t="s">
        <v>16</v>
      </c>
      <c r="E97" s="12">
        <v>-12147.6</v>
      </c>
      <c r="F97" s="11">
        <v>0</v>
      </c>
      <c r="G97" s="11">
        <v>0</v>
      </c>
      <c r="H97" s="11">
        <v>0</v>
      </c>
      <c r="I97" s="12">
        <v>-12147.6</v>
      </c>
    </row>
    <row r="99" spans="1:9" x14ac:dyDescent="0.25">
      <c r="A99" s="7" t="s">
        <v>23</v>
      </c>
      <c r="B99" s="3"/>
      <c r="C99" s="3"/>
      <c r="D99" s="3"/>
      <c r="E99" s="9">
        <f>SUBTOTAL(9,E92:E97)</f>
        <v>0</v>
      </c>
      <c r="F99" s="9">
        <f>SUBTOTAL(9,F92:F97)</f>
        <v>0</v>
      </c>
      <c r="G99" s="9">
        <f>SUBTOTAL(9,G92:G97)</f>
        <v>0</v>
      </c>
      <c r="H99" s="9">
        <f>SUBTOTAL(9,H92:H97)</f>
        <v>0</v>
      </c>
      <c r="I99" s="9">
        <f>SUBTOTAL(9,I92:I97)</f>
        <v>0</v>
      </c>
    </row>
    <row r="101" spans="1:9" x14ac:dyDescent="0.25">
      <c r="A101" s="7" t="s">
        <v>80</v>
      </c>
    </row>
    <row r="102" spans="1:9" x14ac:dyDescent="0.25">
      <c r="A102" s="3"/>
      <c r="B102" s="4" t="s">
        <v>81</v>
      </c>
      <c r="C102" s="8">
        <v>45158</v>
      </c>
      <c r="D102" s="4" t="s">
        <v>13</v>
      </c>
      <c r="E102" s="9">
        <v>21400</v>
      </c>
      <c r="F102" s="9">
        <v>0</v>
      </c>
      <c r="G102" s="9">
        <v>0</v>
      </c>
      <c r="H102" s="9">
        <v>0</v>
      </c>
      <c r="I102" s="9">
        <v>21400</v>
      </c>
    </row>
    <row r="103" spans="1:9" x14ac:dyDescent="0.25">
      <c r="A103" s="3"/>
      <c r="B103" s="4" t="s">
        <v>82</v>
      </c>
      <c r="C103" s="8">
        <v>45158</v>
      </c>
      <c r="D103" s="4" t="s">
        <v>15</v>
      </c>
      <c r="E103" s="10">
        <v>-400</v>
      </c>
      <c r="F103" s="9">
        <v>0</v>
      </c>
      <c r="G103" s="9">
        <v>0</v>
      </c>
      <c r="H103" s="9">
        <v>0</v>
      </c>
      <c r="I103" s="10">
        <v>-400</v>
      </c>
    </row>
    <row r="104" spans="1:9" x14ac:dyDescent="0.25">
      <c r="A104" s="3"/>
      <c r="B104" s="4" t="s">
        <v>82</v>
      </c>
      <c r="C104" s="8">
        <v>45158</v>
      </c>
      <c r="D104" s="4" t="s">
        <v>16</v>
      </c>
      <c r="E104" s="10">
        <v>-21000</v>
      </c>
      <c r="F104" s="9">
        <v>0</v>
      </c>
      <c r="G104" s="9">
        <v>0</v>
      </c>
      <c r="H104" s="9">
        <v>0</v>
      </c>
      <c r="I104" s="10">
        <v>-21000</v>
      </c>
    </row>
    <row r="105" spans="1:9" x14ac:dyDescent="0.25">
      <c r="A105" s="3"/>
      <c r="B105" s="4" t="s">
        <v>83</v>
      </c>
      <c r="C105" s="8">
        <v>45174</v>
      </c>
      <c r="D105" s="4" t="s">
        <v>13</v>
      </c>
      <c r="E105" s="9">
        <v>12840</v>
      </c>
      <c r="F105" s="9">
        <v>0</v>
      </c>
      <c r="G105" s="9">
        <v>0</v>
      </c>
      <c r="H105" s="9">
        <v>0</v>
      </c>
      <c r="I105" s="9">
        <v>12840</v>
      </c>
    </row>
    <row r="106" spans="1:9" x14ac:dyDescent="0.25">
      <c r="A106" s="3"/>
      <c r="B106" s="4" t="s">
        <v>84</v>
      </c>
      <c r="C106" s="8">
        <v>45250</v>
      </c>
      <c r="D106" s="4" t="s">
        <v>16</v>
      </c>
      <c r="E106" s="10">
        <v>-12840</v>
      </c>
      <c r="F106" s="9">
        <v>0</v>
      </c>
      <c r="G106" s="9">
        <v>0</v>
      </c>
      <c r="H106" s="9">
        <v>0</v>
      </c>
      <c r="I106" s="10">
        <v>-12840</v>
      </c>
    </row>
    <row r="107" spans="1:9" x14ac:dyDescent="0.25">
      <c r="A107" s="3"/>
      <c r="B107" s="4" t="s">
        <v>85</v>
      </c>
      <c r="C107" s="8">
        <v>45215</v>
      </c>
      <c r="D107" s="4" t="s">
        <v>13</v>
      </c>
      <c r="E107" s="9">
        <v>32100</v>
      </c>
      <c r="F107" s="9">
        <v>0</v>
      </c>
      <c r="G107" s="9">
        <v>0</v>
      </c>
      <c r="H107" s="9">
        <v>0</v>
      </c>
      <c r="I107" s="9">
        <v>32100</v>
      </c>
    </row>
    <row r="108" spans="1:9" x14ac:dyDescent="0.25">
      <c r="A108" s="3"/>
      <c r="B108" s="4" t="s">
        <v>86</v>
      </c>
      <c r="C108" s="8">
        <v>45257</v>
      </c>
      <c r="D108" s="4" t="s">
        <v>16</v>
      </c>
      <c r="E108" s="10">
        <v>-32100</v>
      </c>
      <c r="F108" s="9">
        <v>0</v>
      </c>
      <c r="G108" s="9">
        <v>0</v>
      </c>
      <c r="H108" s="9">
        <v>0</v>
      </c>
      <c r="I108" s="10">
        <v>-32100</v>
      </c>
    </row>
    <row r="109" spans="1:9" x14ac:dyDescent="0.25">
      <c r="A109" s="3"/>
      <c r="B109" s="4" t="s">
        <v>87</v>
      </c>
      <c r="C109" s="8">
        <v>45263</v>
      </c>
      <c r="D109" s="4" t="s">
        <v>13</v>
      </c>
      <c r="E109" s="9">
        <v>6112.38</v>
      </c>
      <c r="F109" s="9">
        <v>0</v>
      </c>
      <c r="G109" s="9">
        <v>0</v>
      </c>
      <c r="H109" s="9">
        <v>0</v>
      </c>
      <c r="I109" s="9">
        <v>6112.38</v>
      </c>
    </row>
    <row r="110" spans="1:9" x14ac:dyDescent="0.25">
      <c r="A110" s="3"/>
      <c r="B110" s="4" t="s">
        <v>88</v>
      </c>
      <c r="C110" s="8">
        <v>45301</v>
      </c>
      <c r="D110" s="4" t="s">
        <v>16</v>
      </c>
      <c r="E110" s="10">
        <v>-6112.38</v>
      </c>
      <c r="F110" s="9">
        <v>0</v>
      </c>
      <c r="G110" s="9">
        <v>0</v>
      </c>
      <c r="H110" s="9">
        <v>0</v>
      </c>
      <c r="I110" s="10">
        <v>-6112.38</v>
      </c>
    </row>
    <row r="111" spans="1:9" x14ac:dyDescent="0.25">
      <c r="A111" s="3"/>
      <c r="B111" s="4" t="s">
        <v>89</v>
      </c>
      <c r="C111" s="8">
        <v>45327</v>
      </c>
      <c r="D111" s="4" t="s">
        <v>13</v>
      </c>
      <c r="E111" s="9">
        <v>23540</v>
      </c>
      <c r="F111" s="9">
        <v>0</v>
      </c>
      <c r="G111" s="9">
        <v>0</v>
      </c>
      <c r="H111" s="9">
        <v>0</v>
      </c>
      <c r="I111" s="9">
        <v>23540</v>
      </c>
    </row>
    <row r="112" spans="1:9" x14ac:dyDescent="0.25">
      <c r="A112" s="3"/>
      <c r="B112" s="4" t="s">
        <v>90</v>
      </c>
      <c r="C112" s="8">
        <v>45365</v>
      </c>
      <c r="D112" s="4" t="s">
        <v>16</v>
      </c>
      <c r="E112" s="10">
        <v>-23540</v>
      </c>
      <c r="F112" s="9">
        <v>0</v>
      </c>
      <c r="G112" s="9">
        <v>0</v>
      </c>
      <c r="H112" s="9">
        <v>0</v>
      </c>
      <c r="I112" s="10">
        <v>-23540</v>
      </c>
    </row>
    <row r="113" spans="1:9" x14ac:dyDescent="0.25">
      <c r="A113" s="3"/>
      <c r="B113" s="4" t="s">
        <v>91</v>
      </c>
      <c r="C113" s="8">
        <v>45446</v>
      </c>
      <c r="D113" s="4" t="s">
        <v>13</v>
      </c>
      <c r="E113" s="9">
        <v>508.25</v>
      </c>
      <c r="F113" s="9">
        <v>0</v>
      </c>
      <c r="G113" s="9">
        <v>0</v>
      </c>
      <c r="H113" s="9">
        <v>0</v>
      </c>
      <c r="I113" s="9">
        <v>508.25</v>
      </c>
    </row>
    <row r="114" spans="1:9" x14ac:dyDescent="0.25">
      <c r="A114" s="3"/>
      <c r="B114" s="4" t="s">
        <v>92</v>
      </c>
      <c r="C114" s="8">
        <v>45531</v>
      </c>
      <c r="D114" s="4" t="s">
        <v>16</v>
      </c>
      <c r="E114" s="10">
        <v>-508.25</v>
      </c>
      <c r="F114" s="9">
        <v>0</v>
      </c>
      <c r="G114" s="9">
        <v>0</v>
      </c>
      <c r="H114" s="9">
        <v>0</v>
      </c>
      <c r="I114" s="10">
        <v>-508.25</v>
      </c>
    </row>
    <row r="115" spans="1:9" x14ac:dyDescent="0.25">
      <c r="A115" s="3"/>
      <c r="B115" s="4" t="s">
        <v>93</v>
      </c>
      <c r="C115" s="8">
        <v>45499</v>
      </c>
      <c r="D115" s="4" t="s">
        <v>13</v>
      </c>
      <c r="E115" s="9">
        <v>31800</v>
      </c>
      <c r="F115" s="9">
        <v>0</v>
      </c>
      <c r="G115" s="9">
        <v>0</v>
      </c>
      <c r="H115" s="9">
        <v>0</v>
      </c>
      <c r="I115" s="9">
        <v>31800</v>
      </c>
    </row>
    <row r="116" spans="1:9" x14ac:dyDescent="0.25">
      <c r="A116" s="3"/>
      <c r="B116" s="4" t="s">
        <v>92</v>
      </c>
      <c r="C116" s="8">
        <v>45531</v>
      </c>
      <c r="D116" s="4" t="s">
        <v>16</v>
      </c>
      <c r="E116" s="10">
        <v>-31800</v>
      </c>
      <c r="F116" s="9">
        <v>0</v>
      </c>
      <c r="G116" s="9">
        <v>0</v>
      </c>
      <c r="H116" s="9">
        <v>0</v>
      </c>
      <c r="I116" s="10">
        <v>-31800</v>
      </c>
    </row>
    <row r="117" spans="1:9" x14ac:dyDescent="0.25">
      <c r="A117" s="3"/>
      <c r="B117" s="4" t="s">
        <v>94</v>
      </c>
      <c r="C117" s="8">
        <v>45543</v>
      </c>
      <c r="D117" s="4" t="s">
        <v>13</v>
      </c>
      <c r="E117" s="9">
        <v>9378.35</v>
      </c>
      <c r="F117" s="9">
        <v>0</v>
      </c>
      <c r="G117" s="9">
        <v>0</v>
      </c>
      <c r="H117" s="9">
        <v>0</v>
      </c>
      <c r="I117" s="9">
        <v>9378.35</v>
      </c>
    </row>
    <row r="118" spans="1:9" x14ac:dyDescent="0.25">
      <c r="A118" s="3"/>
      <c r="B118" s="4" t="s">
        <v>95</v>
      </c>
      <c r="C118" s="8">
        <v>45575</v>
      </c>
      <c r="D118" s="4" t="s">
        <v>16</v>
      </c>
      <c r="E118" s="10">
        <v>-4500</v>
      </c>
      <c r="F118" s="9">
        <v>0</v>
      </c>
      <c r="G118" s="9">
        <v>0</v>
      </c>
      <c r="H118" s="9">
        <v>0</v>
      </c>
      <c r="I118" s="10">
        <v>-4500</v>
      </c>
    </row>
    <row r="119" spans="1:9" x14ac:dyDescent="0.25">
      <c r="A119" s="3"/>
      <c r="B119" s="4" t="s">
        <v>96</v>
      </c>
      <c r="C119" s="8">
        <v>45683</v>
      </c>
      <c r="D119" s="4" t="s">
        <v>16</v>
      </c>
      <c r="E119" s="10">
        <v>-4878.3500000000004</v>
      </c>
      <c r="F119" s="9">
        <v>0</v>
      </c>
      <c r="G119" s="9">
        <v>0</v>
      </c>
      <c r="H119" s="9">
        <v>0</v>
      </c>
      <c r="I119" s="10">
        <v>-4878.3500000000004</v>
      </c>
    </row>
    <row r="120" spans="1:9" x14ac:dyDescent="0.25">
      <c r="A120" s="3"/>
      <c r="B120" s="4" t="s">
        <v>97</v>
      </c>
      <c r="C120" s="8">
        <v>45611</v>
      </c>
      <c r="D120" s="4" t="s">
        <v>13</v>
      </c>
      <c r="E120" s="9">
        <v>23850</v>
      </c>
      <c r="F120" s="9">
        <v>0</v>
      </c>
      <c r="G120" s="9">
        <v>0</v>
      </c>
      <c r="H120" s="9">
        <v>0</v>
      </c>
      <c r="I120" s="9">
        <v>23850</v>
      </c>
    </row>
    <row r="121" spans="1:9" x14ac:dyDescent="0.25">
      <c r="A121" s="3"/>
      <c r="B121" s="4" t="s">
        <v>96</v>
      </c>
      <c r="C121" s="8">
        <v>45683</v>
      </c>
      <c r="D121" s="4" t="s">
        <v>16</v>
      </c>
      <c r="E121" s="10">
        <v>-12000</v>
      </c>
      <c r="F121" s="9">
        <v>0</v>
      </c>
      <c r="G121" s="9">
        <v>0</v>
      </c>
      <c r="H121" s="9">
        <v>0</v>
      </c>
      <c r="I121" s="10">
        <v>-12000</v>
      </c>
    </row>
    <row r="122" spans="1:9" x14ac:dyDescent="0.25">
      <c r="A122" s="3"/>
      <c r="B122" s="4" t="s">
        <v>98</v>
      </c>
      <c r="C122" s="8">
        <v>45747</v>
      </c>
      <c r="D122" s="4" t="s">
        <v>16</v>
      </c>
      <c r="E122" s="10">
        <v>-2500</v>
      </c>
      <c r="F122" s="9">
        <v>0</v>
      </c>
      <c r="G122" s="9">
        <v>0</v>
      </c>
      <c r="H122" s="9">
        <v>0</v>
      </c>
      <c r="I122" s="10">
        <v>-2500</v>
      </c>
    </row>
    <row r="123" spans="1:9" x14ac:dyDescent="0.25">
      <c r="A123" s="3"/>
      <c r="B123" s="4" t="s">
        <v>99</v>
      </c>
      <c r="C123" s="8">
        <v>45723</v>
      </c>
      <c r="D123" s="4" t="s">
        <v>13</v>
      </c>
      <c r="E123" s="11">
        <v>5180.7</v>
      </c>
      <c r="F123" s="11">
        <v>5180.7</v>
      </c>
      <c r="G123" s="11">
        <v>0</v>
      </c>
      <c r="H123" s="11">
        <v>0</v>
      </c>
      <c r="I123" s="11">
        <v>0</v>
      </c>
    </row>
    <row r="125" spans="1:9" x14ac:dyDescent="0.25">
      <c r="A125" s="7" t="s">
        <v>23</v>
      </c>
      <c r="B125" s="3"/>
      <c r="C125" s="3"/>
      <c r="D125" s="3"/>
      <c r="E125" s="9">
        <f>SUBTOTAL(9,E102:E123)</f>
        <v>14530.7</v>
      </c>
      <c r="F125" s="9">
        <f>SUBTOTAL(9,F102:F123)</f>
        <v>5180.7</v>
      </c>
      <c r="G125" s="9">
        <f>SUBTOTAL(9,G102:G123)</f>
        <v>0</v>
      </c>
      <c r="H125" s="9">
        <f>SUBTOTAL(9,H102:H123)</f>
        <v>0</v>
      </c>
      <c r="I125" s="9">
        <f>SUBTOTAL(9,I102:I123)</f>
        <v>9350</v>
      </c>
    </row>
    <row r="127" spans="1:9" x14ac:dyDescent="0.25">
      <c r="A127" s="7" t="s">
        <v>100</v>
      </c>
    </row>
    <row r="128" spans="1:9" x14ac:dyDescent="0.25">
      <c r="A128" s="3"/>
      <c r="B128" s="4" t="s">
        <v>32</v>
      </c>
      <c r="C128" s="8">
        <v>45299</v>
      </c>
      <c r="D128" s="4" t="s">
        <v>13</v>
      </c>
      <c r="E128" s="9">
        <v>9040.2000000000007</v>
      </c>
      <c r="F128" s="9">
        <v>0</v>
      </c>
      <c r="G128" s="9">
        <v>0</v>
      </c>
      <c r="H128" s="9">
        <v>0</v>
      </c>
      <c r="I128" s="9">
        <v>9040.2000000000007</v>
      </c>
    </row>
    <row r="129" spans="1:9" x14ac:dyDescent="0.25">
      <c r="A129" s="3"/>
      <c r="B129" s="4" t="s">
        <v>14</v>
      </c>
      <c r="C129" s="8">
        <v>45299</v>
      </c>
      <c r="D129" s="4" t="s">
        <v>15</v>
      </c>
      <c r="E129" s="10">
        <v>-158.6</v>
      </c>
      <c r="F129" s="9">
        <v>0</v>
      </c>
      <c r="G129" s="9">
        <v>0</v>
      </c>
      <c r="H129" s="9">
        <v>0</v>
      </c>
      <c r="I129" s="10">
        <v>-158.6</v>
      </c>
    </row>
    <row r="130" spans="1:9" x14ac:dyDescent="0.25">
      <c r="A130" s="3"/>
      <c r="B130" s="4" t="s">
        <v>14</v>
      </c>
      <c r="C130" s="8">
        <v>45299</v>
      </c>
      <c r="D130" s="4" t="s">
        <v>16</v>
      </c>
      <c r="E130" s="10">
        <v>-8881.6</v>
      </c>
      <c r="F130" s="9">
        <v>0</v>
      </c>
      <c r="G130" s="9">
        <v>0</v>
      </c>
      <c r="H130" s="9">
        <v>0</v>
      </c>
      <c r="I130" s="10">
        <v>-8881.6</v>
      </c>
    </row>
    <row r="131" spans="1:9" x14ac:dyDescent="0.25">
      <c r="A131" s="3"/>
      <c r="B131" s="4" t="s">
        <v>101</v>
      </c>
      <c r="C131" s="8">
        <v>45376</v>
      </c>
      <c r="D131" s="4" t="s">
        <v>13</v>
      </c>
      <c r="E131" s="9">
        <v>5609.94</v>
      </c>
      <c r="F131" s="9">
        <v>0</v>
      </c>
      <c r="G131" s="9">
        <v>0</v>
      </c>
      <c r="H131" s="9">
        <v>0</v>
      </c>
      <c r="I131" s="9">
        <v>5609.94</v>
      </c>
    </row>
    <row r="132" spans="1:9" x14ac:dyDescent="0.25">
      <c r="A132" s="3"/>
      <c r="B132" s="4" t="s">
        <v>102</v>
      </c>
      <c r="C132" s="8">
        <v>45413</v>
      </c>
      <c r="D132" s="4" t="s">
        <v>16</v>
      </c>
      <c r="E132" s="10">
        <v>-5609.94</v>
      </c>
      <c r="F132" s="9">
        <v>0</v>
      </c>
      <c r="G132" s="9">
        <v>0</v>
      </c>
      <c r="H132" s="9">
        <v>0</v>
      </c>
      <c r="I132" s="10">
        <v>-5609.94</v>
      </c>
    </row>
    <row r="133" spans="1:9" x14ac:dyDescent="0.25">
      <c r="A133" s="3"/>
      <c r="B133" s="4" t="s">
        <v>103</v>
      </c>
      <c r="C133" s="8">
        <v>45461</v>
      </c>
      <c r="D133" s="4" t="s">
        <v>13</v>
      </c>
      <c r="E133" s="9">
        <v>10700</v>
      </c>
      <c r="F133" s="9">
        <v>0</v>
      </c>
      <c r="G133" s="9">
        <v>0</v>
      </c>
      <c r="H133" s="9">
        <v>0</v>
      </c>
      <c r="I133" s="9">
        <v>10700</v>
      </c>
    </row>
    <row r="134" spans="1:9" x14ac:dyDescent="0.25">
      <c r="A134" s="3"/>
      <c r="B134" s="4" t="s">
        <v>104</v>
      </c>
      <c r="C134" s="8">
        <v>45531</v>
      </c>
      <c r="D134" s="4" t="s">
        <v>16</v>
      </c>
      <c r="E134" s="10">
        <v>-5000</v>
      </c>
      <c r="F134" s="9">
        <v>0</v>
      </c>
      <c r="G134" s="9">
        <v>0</v>
      </c>
      <c r="H134" s="9">
        <v>0</v>
      </c>
      <c r="I134" s="10">
        <v>-5000</v>
      </c>
    </row>
    <row r="135" spans="1:9" x14ac:dyDescent="0.25">
      <c r="A135" s="3"/>
      <c r="B135" s="4" t="s">
        <v>105</v>
      </c>
      <c r="C135" s="8">
        <v>45595</v>
      </c>
      <c r="D135" s="4" t="s">
        <v>16</v>
      </c>
      <c r="E135" s="10">
        <v>-5700</v>
      </c>
      <c r="F135" s="9">
        <v>0</v>
      </c>
      <c r="G135" s="9">
        <v>0</v>
      </c>
      <c r="H135" s="9">
        <v>0</v>
      </c>
      <c r="I135" s="10">
        <v>-5700</v>
      </c>
    </row>
    <row r="136" spans="1:9" x14ac:dyDescent="0.25">
      <c r="A136" s="3"/>
      <c r="B136" s="4" t="s">
        <v>106</v>
      </c>
      <c r="C136" s="8">
        <v>45483</v>
      </c>
      <c r="D136" s="4" t="s">
        <v>13</v>
      </c>
      <c r="E136" s="9">
        <v>1540</v>
      </c>
      <c r="F136" s="9">
        <v>0</v>
      </c>
      <c r="G136" s="9">
        <v>0</v>
      </c>
      <c r="H136" s="9">
        <v>0</v>
      </c>
      <c r="I136" s="9">
        <v>1540</v>
      </c>
    </row>
    <row r="137" spans="1:9" x14ac:dyDescent="0.25">
      <c r="A137" s="3"/>
      <c r="B137" s="4" t="s">
        <v>104</v>
      </c>
      <c r="C137" s="8">
        <v>45531</v>
      </c>
      <c r="D137" s="4" t="s">
        <v>16</v>
      </c>
      <c r="E137" s="10">
        <v>-1540</v>
      </c>
      <c r="F137" s="9">
        <v>0</v>
      </c>
      <c r="G137" s="9">
        <v>0</v>
      </c>
      <c r="H137" s="9">
        <v>0</v>
      </c>
      <c r="I137" s="10">
        <v>-1540</v>
      </c>
    </row>
    <row r="138" spans="1:9" x14ac:dyDescent="0.25">
      <c r="A138" s="3"/>
      <c r="B138" s="4" t="s">
        <v>107</v>
      </c>
      <c r="C138" s="8">
        <v>45734</v>
      </c>
      <c r="D138" s="4" t="s">
        <v>13</v>
      </c>
      <c r="E138" s="9">
        <v>14385.5</v>
      </c>
      <c r="F138" s="9">
        <v>14385.5</v>
      </c>
      <c r="G138" s="9">
        <v>0</v>
      </c>
      <c r="H138" s="9">
        <v>0</v>
      </c>
      <c r="I138" s="9">
        <v>0</v>
      </c>
    </row>
    <row r="139" spans="1:9" x14ac:dyDescent="0.25">
      <c r="A139" s="3"/>
      <c r="B139" s="4" t="s">
        <v>108</v>
      </c>
      <c r="C139" s="8">
        <v>45747</v>
      </c>
      <c r="D139" s="4" t="s">
        <v>13</v>
      </c>
      <c r="E139" s="11">
        <v>101.14</v>
      </c>
      <c r="F139" s="11">
        <v>101.14</v>
      </c>
      <c r="G139" s="11">
        <v>0</v>
      </c>
      <c r="H139" s="11">
        <v>0</v>
      </c>
      <c r="I139" s="11">
        <v>0</v>
      </c>
    </row>
    <row r="141" spans="1:9" x14ac:dyDescent="0.25">
      <c r="A141" s="7" t="s">
        <v>23</v>
      </c>
      <c r="B141" s="3"/>
      <c r="C141" s="3"/>
      <c r="D141" s="3"/>
      <c r="E141" s="9">
        <f>SUBTOTAL(9,E128:E139)</f>
        <v>14486.64</v>
      </c>
      <c r="F141" s="9">
        <f>SUBTOTAL(9,F128:F139)</f>
        <v>14486.64</v>
      </c>
      <c r="G141" s="9">
        <f>SUBTOTAL(9,G128:G139)</f>
        <v>0</v>
      </c>
      <c r="H141" s="9">
        <f>SUBTOTAL(9,H128:H139)</f>
        <v>0</v>
      </c>
      <c r="I141" s="9">
        <f>SUBTOTAL(9,I128:I139)</f>
        <v>0</v>
      </c>
    </row>
    <row r="143" spans="1:9" x14ac:dyDescent="0.25">
      <c r="A143" s="7" t="s">
        <v>109</v>
      </c>
    </row>
    <row r="144" spans="1:9" x14ac:dyDescent="0.25">
      <c r="A144" s="3"/>
      <c r="B144" s="4" t="s">
        <v>110</v>
      </c>
      <c r="C144" s="8">
        <v>45166</v>
      </c>
      <c r="D144" s="4" t="s">
        <v>13</v>
      </c>
      <c r="E144" s="9">
        <v>8227.9599999999991</v>
      </c>
      <c r="F144" s="9">
        <v>0</v>
      </c>
      <c r="G144" s="9">
        <v>0</v>
      </c>
      <c r="H144" s="9">
        <v>0</v>
      </c>
      <c r="I144" s="9">
        <v>8227.9599999999991</v>
      </c>
    </row>
    <row r="145" spans="1:9" x14ac:dyDescent="0.25">
      <c r="A145" s="3"/>
      <c r="B145" s="4" t="s">
        <v>111</v>
      </c>
      <c r="C145" s="8">
        <v>45251</v>
      </c>
      <c r="D145" s="4" t="s">
        <v>16</v>
      </c>
      <c r="E145" s="10">
        <v>-8227.9599999999991</v>
      </c>
      <c r="F145" s="9">
        <v>0</v>
      </c>
      <c r="G145" s="9">
        <v>0</v>
      </c>
      <c r="H145" s="9">
        <v>0</v>
      </c>
      <c r="I145" s="10">
        <v>-8227.9599999999991</v>
      </c>
    </row>
    <row r="146" spans="1:9" x14ac:dyDescent="0.25">
      <c r="A146" s="3"/>
      <c r="B146" s="4" t="s">
        <v>112</v>
      </c>
      <c r="C146" s="8">
        <v>45179</v>
      </c>
      <c r="D146" s="4" t="s">
        <v>13</v>
      </c>
      <c r="E146" s="9">
        <v>38520</v>
      </c>
      <c r="F146" s="9">
        <v>0</v>
      </c>
      <c r="G146" s="9">
        <v>0</v>
      </c>
      <c r="H146" s="9">
        <v>0</v>
      </c>
      <c r="I146" s="9">
        <v>38520</v>
      </c>
    </row>
    <row r="147" spans="1:9" x14ac:dyDescent="0.25">
      <c r="A147" s="3"/>
      <c r="B147" s="4" t="s">
        <v>111</v>
      </c>
      <c r="C147" s="8">
        <v>45251</v>
      </c>
      <c r="D147" s="4" t="s">
        <v>16</v>
      </c>
      <c r="E147" s="10">
        <v>-38520</v>
      </c>
      <c r="F147" s="9">
        <v>0</v>
      </c>
      <c r="G147" s="9">
        <v>0</v>
      </c>
      <c r="H147" s="9">
        <v>0</v>
      </c>
      <c r="I147" s="10">
        <v>-38520</v>
      </c>
    </row>
    <row r="148" spans="1:9" x14ac:dyDescent="0.25">
      <c r="A148" s="3"/>
      <c r="B148" s="4" t="s">
        <v>113</v>
      </c>
      <c r="C148" s="8">
        <v>45223</v>
      </c>
      <c r="D148" s="4" t="s">
        <v>13</v>
      </c>
      <c r="E148" s="9">
        <v>29425</v>
      </c>
      <c r="F148" s="9">
        <v>0</v>
      </c>
      <c r="G148" s="9">
        <v>0</v>
      </c>
      <c r="H148" s="9">
        <v>0</v>
      </c>
      <c r="I148" s="9">
        <v>29425</v>
      </c>
    </row>
    <row r="149" spans="1:9" x14ac:dyDescent="0.25">
      <c r="A149" s="3"/>
      <c r="B149" s="4" t="s">
        <v>114</v>
      </c>
      <c r="C149" s="8">
        <v>45284</v>
      </c>
      <c r="D149" s="4" t="s">
        <v>16</v>
      </c>
      <c r="E149" s="10">
        <v>-29425</v>
      </c>
      <c r="F149" s="9">
        <v>0</v>
      </c>
      <c r="G149" s="9">
        <v>0</v>
      </c>
      <c r="H149" s="9">
        <v>0</v>
      </c>
      <c r="I149" s="10">
        <v>-29425</v>
      </c>
    </row>
    <row r="150" spans="1:9" x14ac:dyDescent="0.25">
      <c r="A150" s="3"/>
      <c r="B150" s="4" t="s">
        <v>115</v>
      </c>
      <c r="C150" s="8">
        <v>45418</v>
      </c>
      <c r="D150" s="4" t="s">
        <v>13</v>
      </c>
      <c r="E150" s="9">
        <v>7333.06</v>
      </c>
      <c r="F150" s="9">
        <v>0</v>
      </c>
      <c r="G150" s="9">
        <v>0</v>
      </c>
      <c r="H150" s="9">
        <v>0</v>
      </c>
      <c r="I150" s="9">
        <v>7333.06</v>
      </c>
    </row>
    <row r="151" spans="1:9" x14ac:dyDescent="0.25">
      <c r="A151" s="3"/>
      <c r="B151" s="4" t="s">
        <v>116</v>
      </c>
      <c r="C151" s="8">
        <v>45559</v>
      </c>
      <c r="D151" s="4" t="s">
        <v>16</v>
      </c>
      <c r="E151" s="10">
        <v>-7333.06</v>
      </c>
      <c r="F151" s="9">
        <v>0</v>
      </c>
      <c r="G151" s="9">
        <v>0</v>
      </c>
      <c r="H151" s="9">
        <v>0</v>
      </c>
      <c r="I151" s="10">
        <v>-7333.06</v>
      </c>
    </row>
    <row r="152" spans="1:9" x14ac:dyDescent="0.25">
      <c r="A152" s="3"/>
      <c r="B152" s="4" t="s">
        <v>117</v>
      </c>
      <c r="C152" s="8">
        <v>45503</v>
      </c>
      <c r="D152" s="4" t="s">
        <v>13</v>
      </c>
      <c r="E152" s="9">
        <v>29150</v>
      </c>
      <c r="F152" s="9">
        <v>0</v>
      </c>
      <c r="G152" s="9">
        <v>0</v>
      </c>
      <c r="H152" s="9">
        <v>0</v>
      </c>
      <c r="I152" s="9">
        <v>29150</v>
      </c>
    </row>
    <row r="153" spans="1:9" x14ac:dyDescent="0.25">
      <c r="A153" s="3"/>
      <c r="B153" s="4" t="s">
        <v>116</v>
      </c>
      <c r="C153" s="8">
        <v>45559</v>
      </c>
      <c r="D153" s="4" t="s">
        <v>16</v>
      </c>
      <c r="E153" s="10">
        <v>-29150</v>
      </c>
      <c r="F153" s="9">
        <v>0</v>
      </c>
      <c r="G153" s="9">
        <v>0</v>
      </c>
      <c r="H153" s="9">
        <v>0</v>
      </c>
      <c r="I153" s="10">
        <v>-29150</v>
      </c>
    </row>
    <row r="154" spans="1:9" x14ac:dyDescent="0.25">
      <c r="A154" s="3"/>
      <c r="B154" s="4" t="s">
        <v>118</v>
      </c>
      <c r="C154" s="8">
        <v>45686</v>
      </c>
      <c r="D154" s="4" t="s">
        <v>13</v>
      </c>
      <c r="E154" s="9">
        <v>172.33</v>
      </c>
      <c r="F154" s="9">
        <v>0</v>
      </c>
      <c r="G154" s="9">
        <v>0</v>
      </c>
      <c r="H154" s="9">
        <v>172.33</v>
      </c>
      <c r="I154" s="9">
        <v>0</v>
      </c>
    </row>
    <row r="155" spans="1:9" x14ac:dyDescent="0.25">
      <c r="A155" s="3"/>
      <c r="B155" s="4" t="s">
        <v>34</v>
      </c>
      <c r="C155" s="8">
        <v>45716</v>
      </c>
      <c r="D155" s="4" t="s">
        <v>13</v>
      </c>
      <c r="E155" s="9">
        <v>168.94</v>
      </c>
      <c r="F155" s="9">
        <v>0</v>
      </c>
      <c r="G155" s="9">
        <v>168.94</v>
      </c>
      <c r="H155" s="9">
        <v>0</v>
      </c>
      <c r="I155" s="9">
        <v>0</v>
      </c>
    </row>
    <row r="156" spans="1:9" x14ac:dyDescent="0.25">
      <c r="A156" s="3"/>
      <c r="B156" s="4" t="s">
        <v>119</v>
      </c>
      <c r="C156" s="8">
        <v>45740</v>
      </c>
      <c r="D156" s="4" t="s">
        <v>13</v>
      </c>
      <c r="E156" s="9">
        <v>5300</v>
      </c>
      <c r="F156" s="9">
        <v>5300</v>
      </c>
      <c r="G156" s="9">
        <v>0</v>
      </c>
      <c r="H156" s="9">
        <v>0</v>
      </c>
      <c r="I156" s="9">
        <v>0</v>
      </c>
    </row>
    <row r="157" spans="1:9" x14ac:dyDescent="0.25">
      <c r="A157" s="3"/>
      <c r="B157" s="4" t="s">
        <v>120</v>
      </c>
      <c r="C157" s="8">
        <v>45740</v>
      </c>
      <c r="D157" s="4" t="s">
        <v>15</v>
      </c>
      <c r="E157" s="10">
        <v>-100</v>
      </c>
      <c r="F157" s="10">
        <v>-100</v>
      </c>
      <c r="G157" s="9">
        <v>0</v>
      </c>
      <c r="H157" s="9">
        <v>0</v>
      </c>
      <c r="I157" s="9">
        <v>0</v>
      </c>
    </row>
    <row r="158" spans="1:9" x14ac:dyDescent="0.25">
      <c r="A158" s="3"/>
      <c r="B158" s="4" t="s">
        <v>120</v>
      </c>
      <c r="C158" s="8">
        <v>45740</v>
      </c>
      <c r="D158" s="4" t="s">
        <v>16</v>
      </c>
      <c r="E158" s="10">
        <v>-5200</v>
      </c>
      <c r="F158" s="10">
        <v>-5200</v>
      </c>
      <c r="G158" s="9">
        <v>0</v>
      </c>
      <c r="H158" s="9">
        <v>0</v>
      </c>
      <c r="I158" s="9">
        <v>0</v>
      </c>
    </row>
    <row r="159" spans="1:9" x14ac:dyDescent="0.25">
      <c r="A159" s="3"/>
      <c r="B159" s="4" t="s">
        <v>121</v>
      </c>
      <c r="C159" s="8">
        <v>45747</v>
      </c>
      <c r="D159" s="4" t="s">
        <v>13</v>
      </c>
      <c r="E159" s="11">
        <v>370.64</v>
      </c>
      <c r="F159" s="11">
        <v>370.64</v>
      </c>
      <c r="G159" s="11">
        <v>0</v>
      </c>
      <c r="H159" s="11">
        <v>0</v>
      </c>
      <c r="I159" s="11">
        <v>0</v>
      </c>
    </row>
    <row r="161" spans="1:9" x14ac:dyDescent="0.25">
      <c r="A161" s="7" t="s">
        <v>23</v>
      </c>
      <c r="B161" s="3"/>
      <c r="C161" s="3"/>
      <c r="D161" s="3"/>
      <c r="E161" s="9">
        <f>SUBTOTAL(9,E144:E159)</f>
        <v>711.91000000000042</v>
      </c>
      <c r="F161" s="9">
        <f>SUBTOTAL(9,F144:F159)</f>
        <v>370.64</v>
      </c>
      <c r="G161" s="9">
        <f>SUBTOTAL(9,G144:G159)</f>
        <v>168.94</v>
      </c>
      <c r="H161" s="9">
        <f>SUBTOTAL(9,H144:H159)</f>
        <v>172.33</v>
      </c>
      <c r="I161" s="9">
        <f>SUBTOTAL(9,I144:I159)</f>
        <v>0</v>
      </c>
    </row>
    <row r="163" spans="1:9" x14ac:dyDescent="0.25">
      <c r="A163" s="7" t="s">
        <v>122</v>
      </c>
    </row>
    <row r="164" spans="1:9" x14ac:dyDescent="0.25">
      <c r="A164" s="3"/>
      <c r="B164" s="4" t="s">
        <v>123</v>
      </c>
      <c r="C164" s="8">
        <v>45269</v>
      </c>
      <c r="D164" s="4" t="s">
        <v>13</v>
      </c>
      <c r="E164" s="9">
        <v>14873</v>
      </c>
      <c r="F164" s="9">
        <v>0</v>
      </c>
      <c r="G164" s="9">
        <v>0</v>
      </c>
      <c r="H164" s="9">
        <v>0</v>
      </c>
      <c r="I164" s="9">
        <v>14873</v>
      </c>
    </row>
    <row r="165" spans="1:9" x14ac:dyDescent="0.25">
      <c r="A165" s="3"/>
      <c r="B165" s="4" t="s">
        <v>124</v>
      </c>
      <c r="C165" s="8">
        <v>45305</v>
      </c>
      <c r="D165" s="4" t="s">
        <v>16</v>
      </c>
      <c r="E165" s="10">
        <v>-14873</v>
      </c>
      <c r="F165" s="9">
        <v>0</v>
      </c>
      <c r="G165" s="9">
        <v>0</v>
      </c>
      <c r="H165" s="9">
        <v>0</v>
      </c>
      <c r="I165" s="10">
        <v>-14873</v>
      </c>
    </row>
    <row r="166" spans="1:9" x14ac:dyDescent="0.25">
      <c r="A166" s="3"/>
      <c r="B166" s="4" t="s">
        <v>125</v>
      </c>
      <c r="C166" s="8">
        <v>45390</v>
      </c>
      <c r="D166" s="4" t="s">
        <v>13</v>
      </c>
      <c r="E166" s="9">
        <v>31350</v>
      </c>
      <c r="F166" s="9">
        <v>0</v>
      </c>
      <c r="G166" s="9">
        <v>0</v>
      </c>
      <c r="H166" s="9">
        <v>0</v>
      </c>
      <c r="I166" s="9">
        <v>31350</v>
      </c>
    </row>
    <row r="167" spans="1:9" x14ac:dyDescent="0.25">
      <c r="A167" s="3"/>
      <c r="B167" s="4" t="s">
        <v>126</v>
      </c>
      <c r="C167" s="8">
        <v>45425</v>
      </c>
      <c r="D167" s="4" t="s">
        <v>16</v>
      </c>
      <c r="E167" s="10">
        <v>-31350</v>
      </c>
      <c r="F167" s="9">
        <v>0</v>
      </c>
      <c r="G167" s="9">
        <v>0</v>
      </c>
      <c r="H167" s="9">
        <v>0</v>
      </c>
      <c r="I167" s="10">
        <v>-31350</v>
      </c>
    </row>
    <row r="168" spans="1:9" x14ac:dyDescent="0.25">
      <c r="A168" s="3"/>
      <c r="B168" s="4" t="s">
        <v>127</v>
      </c>
      <c r="C168" s="8">
        <v>45417</v>
      </c>
      <c r="D168" s="4" t="s">
        <v>13</v>
      </c>
      <c r="E168" s="9">
        <v>31350</v>
      </c>
      <c r="F168" s="9">
        <v>0</v>
      </c>
      <c r="G168" s="9">
        <v>0</v>
      </c>
      <c r="H168" s="9">
        <v>0</v>
      </c>
      <c r="I168" s="9">
        <v>31350</v>
      </c>
    </row>
    <row r="169" spans="1:9" x14ac:dyDescent="0.25">
      <c r="A169" s="3"/>
      <c r="B169" s="4" t="s">
        <v>128</v>
      </c>
      <c r="C169" s="8">
        <v>45460</v>
      </c>
      <c r="D169" s="4" t="s">
        <v>16</v>
      </c>
      <c r="E169" s="10">
        <v>-31350</v>
      </c>
      <c r="F169" s="9">
        <v>0</v>
      </c>
      <c r="G169" s="9">
        <v>0</v>
      </c>
      <c r="H169" s="9">
        <v>0</v>
      </c>
      <c r="I169" s="10">
        <v>-31350</v>
      </c>
    </row>
    <row r="170" spans="1:9" x14ac:dyDescent="0.25">
      <c r="A170" s="3"/>
      <c r="B170" s="4" t="s">
        <v>129</v>
      </c>
      <c r="C170" s="8">
        <v>45533</v>
      </c>
      <c r="D170" s="4" t="s">
        <v>13</v>
      </c>
      <c r="E170" s="9">
        <v>19080</v>
      </c>
      <c r="F170" s="9">
        <v>0</v>
      </c>
      <c r="G170" s="9">
        <v>0</v>
      </c>
      <c r="H170" s="9">
        <v>0</v>
      </c>
      <c r="I170" s="9">
        <v>19080</v>
      </c>
    </row>
    <row r="171" spans="1:9" x14ac:dyDescent="0.25">
      <c r="A171" s="3"/>
      <c r="B171" s="4" t="s">
        <v>130</v>
      </c>
      <c r="C171" s="8">
        <v>45596</v>
      </c>
      <c r="D171" s="4" t="s">
        <v>16</v>
      </c>
      <c r="E171" s="10">
        <v>-19080</v>
      </c>
      <c r="F171" s="9">
        <v>0</v>
      </c>
      <c r="G171" s="9">
        <v>0</v>
      </c>
      <c r="H171" s="9">
        <v>0</v>
      </c>
      <c r="I171" s="10">
        <v>-19080</v>
      </c>
    </row>
    <row r="172" spans="1:9" x14ac:dyDescent="0.25">
      <c r="A172" s="3"/>
      <c r="B172" s="4" t="s">
        <v>131</v>
      </c>
      <c r="C172" s="8">
        <v>45562</v>
      </c>
      <c r="D172" s="4" t="s">
        <v>13</v>
      </c>
      <c r="E172" s="9">
        <v>35934</v>
      </c>
      <c r="F172" s="9">
        <v>0</v>
      </c>
      <c r="G172" s="9">
        <v>0</v>
      </c>
      <c r="H172" s="9">
        <v>0</v>
      </c>
      <c r="I172" s="9">
        <v>35934</v>
      </c>
    </row>
    <row r="173" spans="1:9" x14ac:dyDescent="0.25">
      <c r="A173" s="3"/>
      <c r="B173" s="4" t="s">
        <v>132</v>
      </c>
      <c r="C173" s="8">
        <v>45579</v>
      </c>
      <c r="D173" s="4" t="s">
        <v>16</v>
      </c>
      <c r="E173" s="10">
        <v>-14873</v>
      </c>
      <c r="F173" s="9">
        <v>0</v>
      </c>
      <c r="G173" s="9">
        <v>0</v>
      </c>
      <c r="H173" s="9">
        <v>0</v>
      </c>
      <c r="I173" s="10">
        <v>-14873</v>
      </c>
    </row>
    <row r="174" spans="1:9" x14ac:dyDescent="0.25">
      <c r="A174" s="3"/>
      <c r="B174" s="4" t="s">
        <v>133</v>
      </c>
      <c r="C174" s="8">
        <v>45631</v>
      </c>
      <c r="D174" s="4" t="s">
        <v>16</v>
      </c>
      <c r="E174" s="10">
        <v>-21061</v>
      </c>
      <c r="F174" s="9">
        <v>0</v>
      </c>
      <c r="G174" s="9">
        <v>0</v>
      </c>
      <c r="H174" s="9">
        <v>0</v>
      </c>
      <c r="I174" s="10">
        <v>-21061</v>
      </c>
    </row>
    <row r="175" spans="1:9" x14ac:dyDescent="0.25">
      <c r="A175" s="3"/>
      <c r="B175" s="4" t="s">
        <v>33</v>
      </c>
      <c r="C175" s="8">
        <v>45688</v>
      </c>
      <c r="D175" s="4" t="s">
        <v>13</v>
      </c>
      <c r="E175" s="9">
        <v>169.5</v>
      </c>
      <c r="F175" s="9">
        <v>0</v>
      </c>
      <c r="G175" s="9">
        <v>169.5</v>
      </c>
      <c r="H175" s="9">
        <v>0</v>
      </c>
      <c r="I175" s="9">
        <v>0</v>
      </c>
    </row>
    <row r="176" spans="1:9" x14ac:dyDescent="0.25">
      <c r="A176" s="3"/>
      <c r="B176" s="4" t="s">
        <v>99</v>
      </c>
      <c r="C176" s="8">
        <v>45716</v>
      </c>
      <c r="D176" s="4" t="s">
        <v>13</v>
      </c>
      <c r="E176" s="11">
        <v>203.4</v>
      </c>
      <c r="F176" s="11">
        <v>0</v>
      </c>
      <c r="G176" s="11">
        <v>203.4</v>
      </c>
      <c r="H176" s="11">
        <v>0</v>
      </c>
      <c r="I176" s="11">
        <v>0</v>
      </c>
    </row>
    <row r="178" spans="1:9" x14ac:dyDescent="0.25">
      <c r="A178" s="7" t="s">
        <v>23</v>
      </c>
      <c r="B178" s="3"/>
      <c r="C178" s="3"/>
      <c r="D178" s="3"/>
      <c r="E178" s="9">
        <f>SUBTOTAL(9,E164:E176)</f>
        <v>372.9</v>
      </c>
      <c r="F178" s="9">
        <f>SUBTOTAL(9,F164:F176)</f>
        <v>0</v>
      </c>
      <c r="G178" s="9">
        <f>SUBTOTAL(9,G164:G176)</f>
        <v>372.9</v>
      </c>
      <c r="H178" s="9">
        <f>SUBTOTAL(9,H164:H176)</f>
        <v>0</v>
      </c>
      <c r="I178" s="9">
        <f>SUBTOTAL(9,I164:I176)</f>
        <v>0</v>
      </c>
    </row>
    <row r="180" spans="1:9" x14ac:dyDescent="0.25">
      <c r="A180" s="7" t="s">
        <v>134</v>
      </c>
    </row>
    <row r="181" spans="1:9" x14ac:dyDescent="0.25">
      <c r="A181" s="3"/>
      <c r="B181" s="4" t="s">
        <v>135</v>
      </c>
      <c r="C181" s="8">
        <v>45266</v>
      </c>
      <c r="D181" s="4" t="s">
        <v>13</v>
      </c>
      <c r="E181" s="9">
        <v>7555</v>
      </c>
      <c r="F181" s="9">
        <v>0</v>
      </c>
      <c r="G181" s="9">
        <v>0</v>
      </c>
      <c r="H181" s="9">
        <v>0</v>
      </c>
      <c r="I181" s="9">
        <v>7555</v>
      </c>
    </row>
    <row r="182" spans="1:9" x14ac:dyDescent="0.25">
      <c r="A182" s="3"/>
      <c r="B182" s="4" t="s">
        <v>136</v>
      </c>
      <c r="C182" s="8">
        <v>45304</v>
      </c>
      <c r="D182" s="4" t="s">
        <v>16</v>
      </c>
      <c r="E182" s="10">
        <v>-7555</v>
      </c>
      <c r="F182" s="9">
        <v>0</v>
      </c>
      <c r="G182" s="9">
        <v>0</v>
      </c>
      <c r="H182" s="9">
        <v>0</v>
      </c>
      <c r="I182" s="10">
        <v>-7555</v>
      </c>
    </row>
    <row r="183" spans="1:9" x14ac:dyDescent="0.25">
      <c r="A183" s="3"/>
      <c r="B183" s="4" t="s">
        <v>137</v>
      </c>
      <c r="C183" s="8">
        <v>45675</v>
      </c>
      <c r="D183" s="4" t="s">
        <v>13</v>
      </c>
      <c r="E183" s="9">
        <v>32000</v>
      </c>
      <c r="F183" s="9">
        <v>0</v>
      </c>
      <c r="G183" s="9">
        <v>0</v>
      </c>
      <c r="H183" s="9">
        <v>32000</v>
      </c>
      <c r="I183" s="9">
        <v>0</v>
      </c>
    </row>
    <row r="184" spans="1:9" x14ac:dyDescent="0.25">
      <c r="A184" s="3"/>
      <c r="B184" s="4" t="s">
        <v>138</v>
      </c>
      <c r="C184" s="8">
        <v>45703</v>
      </c>
      <c r="D184" s="4" t="s">
        <v>15</v>
      </c>
      <c r="E184" s="10">
        <v>-640</v>
      </c>
      <c r="F184" s="9">
        <v>0</v>
      </c>
      <c r="G184" s="9">
        <v>0</v>
      </c>
      <c r="H184" s="10">
        <v>-640</v>
      </c>
      <c r="I184" s="9">
        <v>0</v>
      </c>
    </row>
    <row r="185" spans="1:9" x14ac:dyDescent="0.25">
      <c r="A185" s="3"/>
      <c r="B185" s="4" t="s">
        <v>138</v>
      </c>
      <c r="C185" s="8">
        <v>45703</v>
      </c>
      <c r="D185" s="4" t="s">
        <v>16</v>
      </c>
      <c r="E185" s="10">
        <v>-31360</v>
      </c>
      <c r="F185" s="9">
        <v>0</v>
      </c>
      <c r="G185" s="9">
        <v>0</v>
      </c>
      <c r="H185" s="10">
        <v>-31360</v>
      </c>
      <c r="I185" s="9">
        <v>0</v>
      </c>
    </row>
    <row r="186" spans="1:9" x14ac:dyDescent="0.25">
      <c r="A186" s="3"/>
      <c r="B186" s="4" t="s">
        <v>139</v>
      </c>
      <c r="C186" s="8">
        <v>45688</v>
      </c>
      <c r="D186" s="4" t="s">
        <v>13</v>
      </c>
      <c r="E186" s="9">
        <v>42.8</v>
      </c>
      <c r="F186" s="9">
        <v>0</v>
      </c>
      <c r="G186" s="9">
        <v>42.8</v>
      </c>
      <c r="H186" s="9">
        <v>0</v>
      </c>
      <c r="I186" s="9">
        <v>0</v>
      </c>
    </row>
    <row r="187" spans="1:9" x14ac:dyDescent="0.25">
      <c r="A187" s="3"/>
      <c r="B187" s="4" t="s">
        <v>140</v>
      </c>
      <c r="C187" s="8">
        <v>45716</v>
      </c>
      <c r="D187" s="4" t="s">
        <v>13</v>
      </c>
      <c r="E187" s="11">
        <v>282.48</v>
      </c>
      <c r="F187" s="11">
        <v>0</v>
      </c>
      <c r="G187" s="11">
        <v>282.48</v>
      </c>
      <c r="H187" s="11">
        <v>0</v>
      </c>
      <c r="I187" s="11">
        <v>0</v>
      </c>
    </row>
    <row r="189" spans="1:9" x14ac:dyDescent="0.25">
      <c r="A189" s="7" t="s">
        <v>23</v>
      </c>
      <c r="B189" s="3"/>
      <c r="C189" s="3"/>
      <c r="D189" s="3"/>
      <c r="E189" s="9">
        <f>SUBTOTAL(9,E181:E187)</f>
        <v>325.28000000000003</v>
      </c>
      <c r="F189" s="9">
        <f>SUBTOTAL(9,F181:F187)</f>
        <v>0</v>
      </c>
      <c r="G189" s="9">
        <f>SUBTOTAL(9,G181:G187)</f>
        <v>325.28000000000003</v>
      </c>
      <c r="H189" s="9">
        <f>SUBTOTAL(9,H181:H187)</f>
        <v>0</v>
      </c>
      <c r="I189" s="9">
        <f>SUBTOTAL(9,I181:I187)</f>
        <v>0</v>
      </c>
    </row>
    <row r="191" spans="1:9" x14ac:dyDescent="0.25">
      <c r="A191" s="7" t="s">
        <v>141</v>
      </c>
    </row>
    <row r="192" spans="1:9" x14ac:dyDescent="0.25">
      <c r="A192" s="3"/>
      <c r="B192" s="4" t="s">
        <v>21</v>
      </c>
      <c r="C192" s="8">
        <v>45297</v>
      </c>
      <c r="D192" s="4" t="s">
        <v>13</v>
      </c>
      <c r="E192" s="9">
        <v>229.14</v>
      </c>
      <c r="F192" s="9">
        <v>0</v>
      </c>
      <c r="G192" s="9">
        <v>0</v>
      </c>
      <c r="H192" s="9">
        <v>0</v>
      </c>
      <c r="I192" s="9">
        <v>229.14</v>
      </c>
    </row>
    <row r="193" spans="1:9" x14ac:dyDescent="0.25">
      <c r="A193" s="3"/>
      <c r="B193" s="4" t="s">
        <v>142</v>
      </c>
      <c r="C193" s="8">
        <v>45333</v>
      </c>
      <c r="D193" s="4" t="s">
        <v>16</v>
      </c>
      <c r="E193" s="10">
        <v>-229.14</v>
      </c>
      <c r="F193" s="9">
        <v>0</v>
      </c>
      <c r="G193" s="9">
        <v>0</v>
      </c>
      <c r="H193" s="9">
        <v>0</v>
      </c>
      <c r="I193" s="10">
        <v>-229.14</v>
      </c>
    </row>
    <row r="194" spans="1:9" x14ac:dyDescent="0.25">
      <c r="A194" s="3"/>
      <c r="B194" s="4" t="s">
        <v>143</v>
      </c>
      <c r="C194" s="8">
        <v>45329</v>
      </c>
      <c r="D194" s="4" t="s">
        <v>13</v>
      </c>
      <c r="E194" s="9">
        <v>1070</v>
      </c>
      <c r="F194" s="9">
        <v>0</v>
      </c>
      <c r="G194" s="9">
        <v>0</v>
      </c>
      <c r="H194" s="9">
        <v>0</v>
      </c>
      <c r="I194" s="9">
        <v>1070</v>
      </c>
    </row>
    <row r="195" spans="1:9" x14ac:dyDescent="0.25">
      <c r="A195" s="3"/>
      <c r="B195" s="4" t="s">
        <v>144</v>
      </c>
      <c r="C195" s="8">
        <v>45399</v>
      </c>
      <c r="D195" s="4" t="s">
        <v>16</v>
      </c>
      <c r="E195" s="10">
        <v>-1070</v>
      </c>
      <c r="F195" s="9">
        <v>0</v>
      </c>
      <c r="G195" s="9">
        <v>0</v>
      </c>
      <c r="H195" s="9">
        <v>0</v>
      </c>
      <c r="I195" s="10">
        <v>-1070</v>
      </c>
    </row>
    <row r="196" spans="1:9" x14ac:dyDescent="0.25">
      <c r="A196" s="3"/>
      <c r="B196" s="4" t="s">
        <v>145</v>
      </c>
      <c r="C196" s="8">
        <v>45540</v>
      </c>
      <c r="D196" s="4" t="s">
        <v>13</v>
      </c>
      <c r="E196" s="9">
        <v>9887.5</v>
      </c>
      <c r="F196" s="9">
        <v>0</v>
      </c>
      <c r="G196" s="9">
        <v>0</v>
      </c>
      <c r="H196" s="9">
        <v>0</v>
      </c>
      <c r="I196" s="9">
        <v>9887.5</v>
      </c>
    </row>
    <row r="197" spans="1:9" x14ac:dyDescent="0.25">
      <c r="A197" s="3"/>
      <c r="B197" s="4" t="s">
        <v>146</v>
      </c>
      <c r="C197" s="8">
        <v>45575</v>
      </c>
      <c r="D197" s="4" t="s">
        <v>16</v>
      </c>
      <c r="E197" s="10">
        <v>-9887.5</v>
      </c>
      <c r="F197" s="9">
        <v>0</v>
      </c>
      <c r="G197" s="9">
        <v>0</v>
      </c>
      <c r="H197" s="9">
        <v>0</v>
      </c>
      <c r="I197" s="10">
        <v>-9887.5</v>
      </c>
    </row>
    <row r="198" spans="1:9" x14ac:dyDescent="0.25">
      <c r="A198" s="3"/>
      <c r="B198" s="4" t="s">
        <v>107</v>
      </c>
      <c r="C198" s="8">
        <v>45716</v>
      </c>
      <c r="D198" s="4" t="s">
        <v>13</v>
      </c>
      <c r="E198" s="11">
        <v>61.47</v>
      </c>
      <c r="F198" s="11">
        <v>0</v>
      </c>
      <c r="G198" s="11">
        <v>61.47</v>
      </c>
      <c r="H198" s="11">
        <v>0</v>
      </c>
      <c r="I198" s="11">
        <v>0</v>
      </c>
    </row>
    <row r="200" spans="1:9" x14ac:dyDescent="0.25">
      <c r="A200" s="7" t="s">
        <v>23</v>
      </c>
      <c r="B200" s="3"/>
      <c r="C200" s="3"/>
      <c r="D200" s="3"/>
      <c r="E200" s="9">
        <f>SUBTOTAL(9,E192:E198)</f>
        <v>61.47</v>
      </c>
      <c r="F200" s="9">
        <f>SUBTOTAL(9,F192:F198)</f>
        <v>0</v>
      </c>
      <c r="G200" s="9">
        <f>SUBTOTAL(9,G192:G198)</f>
        <v>61.47</v>
      </c>
      <c r="H200" s="9">
        <f>SUBTOTAL(9,H192:H198)</f>
        <v>0</v>
      </c>
      <c r="I200" s="9">
        <f>SUBTOTAL(9,I192:I198)</f>
        <v>0</v>
      </c>
    </row>
    <row r="202" spans="1:9" x14ac:dyDescent="0.25">
      <c r="A202" s="7" t="s">
        <v>147</v>
      </c>
    </row>
    <row r="203" spans="1:9" x14ac:dyDescent="0.25">
      <c r="A203" s="3"/>
      <c r="B203" s="4" t="s">
        <v>148</v>
      </c>
      <c r="C203" s="8">
        <v>45157</v>
      </c>
      <c r="D203" s="4" t="s">
        <v>13</v>
      </c>
      <c r="E203" s="9">
        <v>1335.79</v>
      </c>
      <c r="F203" s="9">
        <v>0</v>
      </c>
      <c r="G203" s="9">
        <v>0</v>
      </c>
      <c r="H203" s="9">
        <v>0</v>
      </c>
      <c r="I203" s="9">
        <v>1335.79</v>
      </c>
    </row>
    <row r="204" spans="1:9" x14ac:dyDescent="0.25">
      <c r="A204" s="3"/>
      <c r="B204" s="4" t="s">
        <v>149</v>
      </c>
      <c r="C204" s="8">
        <v>45250</v>
      </c>
      <c r="D204" s="4" t="s">
        <v>16</v>
      </c>
      <c r="E204" s="10">
        <v>-1335.79</v>
      </c>
      <c r="F204" s="9">
        <v>0</v>
      </c>
      <c r="G204" s="9">
        <v>0</v>
      </c>
      <c r="H204" s="9">
        <v>0</v>
      </c>
      <c r="I204" s="10">
        <v>-1335.79</v>
      </c>
    </row>
    <row r="205" spans="1:9" x14ac:dyDescent="0.25">
      <c r="A205" s="3"/>
      <c r="B205" s="4" t="s">
        <v>33</v>
      </c>
      <c r="C205" s="8">
        <v>45298</v>
      </c>
      <c r="D205" s="4" t="s">
        <v>13</v>
      </c>
      <c r="E205" s="9">
        <v>5853.92</v>
      </c>
      <c r="F205" s="9">
        <v>0</v>
      </c>
      <c r="G205" s="9">
        <v>0</v>
      </c>
      <c r="H205" s="9">
        <v>0</v>
      </c>
      <c r="I205" s="9">
        <v>5853.92</v>
      </c>
    </row>
    <row r="206" spans="1:9" x14ac:dyDescent="0.25">
      <c r="A206" s="3"/>
      <c r="B206" s="4" t="s">
        <v>150</v>
      </c>
      <c r="C206" s="8">
        <v>45332</v>
      </c>
      <c r="D206" s="4" t="s">
        <v>16</v>
      </c>
      <c r="E206" s="10">
        <v>-5853.92</v>
      </c>
      <c r="F206" s="9">
        <v>0</v>
      </c>
      <c r="G206" s="9">
        <v>0</v>
      </c>
      <c r="H206" s="9">
        <v>0</v>
      </c>
      <c r="I206" s="10">
        <v>-5853.92</v>
      </c>
    </row>
    <row r="207" spans="1:9" x14ac:dyDescent="0.25">
      <c r="A207" s="3"/>
      <c r="B207" s="4" t="s">
        <v>151</v>
      </c>
      <c r="C207" s="8">
        <v>45462</v>
      </c>
      <c r="D207" s="4" t="s">
        <v>13</v>
      </c>
      <c r="E207" s="9">
        <v>10700</v>
      </c>
      <c r="F207" s="9">
        <v>0</v>
      </c>
      <c r="G207" s="9">
        <v>0</v>
      </c>
      <c r="H207" s="9">
        <v>0</v>
      </c>
      <c r="I207" s="9">
        <v>10700</v>
      </c>
    </row>
    <row r="208" spans="1:9" x14ac:dyDescent="0.25">
      <c r="A208" s="3"/>
      <c r="B208" s="4" t="s">
        <v>152</v>
      </c>
      <c r="C208" s="8">
        <v>45559</v>
      </c>
      <c r="D208" s="4" t="s">
        <v>16</v>
      </c>
      <c r="E208" s="10">
        <v>-10700</v>
      </c>
      <c r="F208" s="9">
        <v>0</v>
      </c>
      <c r="G208" s="9">
        <v>0</v>
      </c>
      <c r="H208" s="9">
        <v>0</v>
      </c>
      <c r="I208" s="10">
        <v>-10700</v>
      </c>
    </row>
    <row r="209" spans="1:9" x14ac:dyDescent="0.25">
      <c r="A209" s="3"/>
      <c r="B209" s="4" t="s">
        <v>153</v>
      </c>
      <c r="C209" s="8">
        <v>45506</v>
      </c>
      <c r="D209" s="4" t="s">
        <v>13</v>
      </c>
      <c r="E209" s="9">
        <v>24159.4</v>
      </c>
      <c r="F209" s="9">
        <v>0</v>
      </c>
      <c r="G209" s="9">
        <v>0</v>
      </c>
      <c r="H209" s="9">
        <v>0</v>
      </c>
      <c r="I209" s="9">
        <v>24159.4</v>
      </c>
    </row>
    <row r="210" spans="1:9" x14ac:dyDescent="0.25">
      <c r="A210" s="3"/>
      <c r="B210" s="4" t="s">
        <v>152</v>
      </c>
      <c r="C210" s="8">
        <v>45559</v>
      </c>
      <c r="D210" s="4" t="s">
        <v>16</v>
      </c>
      <c r="E210" s="10">
        <v>-24159.4</v>
      </c>
      <c r="F210" s="9">
        <v>0</v>
      </c>
      <c r="G210" s="9">
        <v>0</v>
      </c>
      <c r="H210" s="9">
        <v>0</v>
      </c>
      <c r="I210" s="10">
        <v>-24159.4</v>
      </c>
    </row>
    <row r="211" spans="1:9" x14ac:dyDescent="0.25">
      <c r="A211" s="3"/>
      <c r="B211" s="4" t="s">
        <v>154</v>
      </c>
      <c r="C211" s="8">
        <v>45577</v>
      </c>
      <c r="D211" s="4" t="s">
        <v>13</v>
      </c>
      <c r="E211" s="9">
        <v>6031.38</v>
      </c>
      <c r="F211" s="9">
        <v>0</v>
      </c>
      <c r="G211" s="9">
        <v>0</v>
      </c>
      <c r="H211" s="9">
        <v>0</v>
      </c>
      <c r="I211" s="9">
        <v>6031.38</v>
      </c>
    </row>
    <row r="212" spans="1:9" x14ac:dyDescent="0.25">
      <c r="A212" s="3"/>
      <c r="B212" s="4" t="s">
        <v>155</v>
      </c>
      <c r="C212" s="8">
        <v>45606</v>
      </c>
      <c r="D212" s="4" t="s">
        <v>16</v>
      </c>
      <c r="E212" s="12">
        <v>-6031.38</v>
      </c>
      <c r="F212" s="11">
        <v>0</v>
      </c>
      <c r="G212" s="11">
        <v>0</v>
      </c>
      <c r="H212" s="11">
        <v>0</v>
      </c>
      <c r="I212" s="12">
        <v>-6031.38</v>
      </c>
    </row>
    <row r="214" spans="1:9" x14ac:dyDescent="0.25">
      <c r="A214" s="7" t="s">
        <v>23</v>
      </c>
      <c r="B214" s="3"/>
      <c r="C214" s="3"/>
      <c r="D214" s="3"/>
      <c r="E214" s="9">
        <f>SUBTOTAL(9,E203:E212)</f>
        <v>0</v>
      </c>
      <c r="F214" s="9">
        <f>SUBTOTAL(9,F203:F212)</f>
        <v>0</v>
      </c>
      <c r="G214" s="9">
        <f>SUBTOTAL(9,G203:G212)</f>
        <v>0</v>
      </c>
      <c r="H214" s="9">
        <f>SUBTOTAL(9,H203:H212)</f>
        <v>0</v>
      </c>
      <c r="I214" s="9">
        <f>SUBTOTAL(9,I203:I212)</f>
        <v>0</v>
      </c>
    </row>
    <row r="216" spans="1:9" x14ac:dyDescent="0.25">
      <c r="A216" s="7" t="s">
        <v>156</v>
      </c>
    </row>
    <row r="217" spans="1:9" x14ac:dyDescent="0.25">
      <c r="A217" s="3"/>
      <c r="B217" s="4" t="s">
        <v>157</v>
      </c>
      <c r="C217" s="8">
        <v>45234</v>
      </c>
      <c r="D217" s="4" t="s">
        <v>13</v>
      </c>
      <c r="E217" s="9">
        <v>6019.2</v>
      </c>
      <c r="F217" s="9">
        <v>0</v>
      </c>
      <c r="G217" s="9">
        <v>0</v>
      </c>
      <c r="H217" s="9">
        <v>0</v>
      </c>
      <c r="I217" s="9">
        <v>6019.2</v>
      </c>
    </row>
    <row r="218" spans="1:9" x14ac:dyDescent="0.25">
      <c r="A218" s="3"/>
      <c r="B218" s="4" t="s">
        <v>158</v>
      </c>
      <c r="C218" s="8">
        <v>45277</v>
      </c>
      <c r="D218" s="4" t="s">
        <v>16</v>
      </c>
      <c r="E218" s="10">
        <v>-6019.2</v>
      </c>
      <c r="F218" s="9">
        <v>0</v>
      </c>
      <c r="G218" s="9">
        <v>0</v>
      </c>
      <c r="H218" s="9">
        <v>0</v>
      </c>
      <c r="I218" s="10">
        <v>-6019.2</v>
      </c>
    </row>
    <row r="219" spans="1:9" x14ac:dyDescent="0.25">
      <c r="A219" s="3"/>
      <c r="B219" s="4" t="s">
        <v>159</v>
      </c>
      <c r="C219" s="8">
        <v>45307</v>
      </c>
      <c r="D219" s="4" t="s">
        <v>13</v>
      </c>
      <c r="E219" s="9">
        <v>16050</v>
      </c>
      <c r="F219" s="9">
        <v>0</v>
      </c>
      <c r="G219" s="9">
        <v>0</v>
      </c>
      <c r="H219" s="9">
        <v>0</v>
      </c>
      <c r="I219" s="9">
        <v>16050</v>
      </c>
    </row>
    <row r="220" spans="1:9" x14ac:dyDescent="0.25">
      <c r="A220" s="3"/>
      <c r="B220" s="4" t="s">
        <v>160</v>
      </c>
      <c r="C220" s="8">
        <v>45343</v>
      </c>
      <c r="D220" s="4" t="s">
        <v>16</v>
      </c>
      <c r="E220" s="10">
        <v>-16050</v>
      </c>
      <c r="F220" s="9">
        <v>0</v>
      </c>
      <c r="G220" s="9">
        <v>0</v>
      </c>
      <c r="H220" s="9">
        <v>0</v>
      </c>
      <c r="I220" s="10">
        <v>-16050</v>
      </c>
    </row>
    <row r="221" spans="1:9" x14ac:dyDescent="0.25">
      <c r="A221" s="3"/>
      <c r="B221" s="4" t="s">
        <v>161</v>
      </c>
      <c r="C221" s="8">
        <v>45328</v>
      </c>
      <c r="D221" s="4" t="s">
        <v>13</v>
      </c>
      <c r="E221" s="9">
        <v>17171.259999999998</v>
      </c>
      <c r="F221" s="9">
        <v>0</v>
      </c>
      <c r="G221" s="9">
        <v>0</v>
      </c>
      <c r="H221" s="9">
        <v>0</v>
      </c>
      <c r="I221" s="9">
        <v>17171.259999999998</v>
      </c>
    </row>
    <row r="222" spans="1:9" x14ac:dyDescent="0.25">
      <c r="A222" s="3"/>
      <c r="B222" s="4" t="s">
        <v>162</v>
      </c>
      <c r="C222" s="8">
        <v>45370</v>
      </c>
      <c r="D222" s="4" t="s">
        <v>16</v>
      </c>
      <c r="E222" s="10">
        <v>-17171.259999999998</v>
      </c>
      <c r="F222" s="9">
        <v>0</v>
      </c>
      <c r="G222" s="9">
        <v>0</v>
      </c>
      <c r="H222" s="9">
        <v>0</v>
      </c>
      <c r="I222" s="10">
        <v>-17171.259999999998</v>
      </c>
    </row>
    <row r="223" spans="1:9" x14ac:dyDescent="0.25">
      <c r="A223" s="3"/>
      <c r="B223" s="4" t="s">
        <v>163</v>
      </c>
      <c r="C223" s="8">
        <v>45433</v>
      </c>
      <c r="D223" s="4" t="s">
        <v>13</v>
      </c>
      <c r="E223" s="9">
        <v>57000</v>
      </c>
      <c r="F223" s="9">
        <v>0</v>
      </c>
      <c r="G223" s="9">
        <v>0</v>
      </c>
      <c r="H223" s="9">
        <v>0</v>
      </c>
      <c r="I223" s="9">
        <v>57000</v>
      </c>
    </row>
    <row r="224" spans="1:9" x14ac:dyDescent="0.25">
      <c r="A224" s="3"/>
      <c r="B224" s="4" t="s">
        <v>164</v>
      </c>
      <c r="C224" s="8">
        <v>45470</v>
      </c>
      <c r="D224" s="4" t="s">
        <v>16</v>
      </c>
      <c r="E224" s="10">
        <v>-57000</v>
      </c>
      <c r="F224" s="9">
        <v>0</v>
      </c>
      <c r="G224" s="9">
        <v>0</v>
      </c>
      <c r="H224" s="9">
        <v>0</v>
      </c>
      <c r="I224" s="10">
        <v>-57000</v>
      </c>
    </row>
    <row r="225" spans="1:9" x14ac:dyDescent="0.25">
      <c r="A225" s="3"/>
      <c r="B225" s="4" t="s">
        <v>165</v>
      </c>
      <c r="C225" s="8">
        <v>45512</v>
      </c>
      <c r="D225" s="4" t="s">
        <v>13</v>
      </c>
      <c r="E225" s="9">
        <v>9932.7000000000007</v>
      </c>
      <c r="F225" s="9">
        <v>0</v>
      </c>
      <c r="G225" s="9">
        <v>0</v>
      </c>
      <c r="H225" s="9">
        <v>0</v>
      </c>
      <c r="I225" s="9">
        <v>9932.7000000000007</v>
      </c>
    </row>
    <row r="226" spans="1:9" x14ac:dyDescent="0.25">
      <c r="A226" s="3"/>
      <c r="B226" s="4" t="s">
        <v>166</v>
      </c>
      <c r="C226" s="8">
        <v>45552</v>
      </c>
      <c r="D226" s="4" t="s">
        <v>16</v>
      </c>
      <c r="E226" s="10">
        <v>-9932.7000000000007</v>
      </c>
      <c r="F226" s="9">
        <v>0</v>
      </c>
      <c r="G226" s="9">
        <v>0</v>
      </c>
      <c r="H226" s="9">
        <v>0</v>
      </c>
      <c r="I226" s="10">
        <v>-9932.7000000000007</v>
      </c>
    </row>
    <row r="227" spans="1:9" x14ac:dyDescent="0.25">
      <c r="A227" s="3"/>
      <c r="B227" s="4" t="s">
        <v>167</v>
      </c>
      <c r="C227" s="8">
        <v>45605</v>
      </c>
      <c r="D227" s="4" t="s">
        <v>13</v>
      </c>
      <c r="E227" s="9">
        <v>30668.55</v>
      </c>
      <c r="F227" s="9">
        <v>0</v>
      </c>
      <c r="G227" s="9">
        <v>0</v>
      </c>
      <c r="H227" s="9">
        <v>0</v>
      </c>
      <c r="I227" s="9">
        <v>30668.55</v>
      </c>
    </row>
    <row r="228" spans="1:9" x14ac:dyDescent="0.25">
      <c r="A228" s="3"/>
      <c r="B228" s="4" t="s">
        <v>168</v>
      </c>
      <c r="C228" s="8">
        <v>45645</v>
      </c>
      <c r="D228" s="4" t="s">
        <v>16</v>
      </c>
      <c r="E228" s="10">
        <v>-15000</v>
      </c>
      <c r="F228" s="9">
        <v>0</v>
      </c>
      <c r="G228" s="9">
        <v>0</v>
      </c>
      <c r="H228" s="9">
        <v>0</v>
      </c>
      <c r="I228" s="10">
        <v>-15000</v>
      </c>
    </row>
    <row r="229" spans="1:9" x14ac:dyDescent="0.25">
      <c r="A229" s="3"/>
      <c r="B229" s="4" t="s">
        <v>169</v>
      </c>
      <c r="C229" s="8">
        <v>45683</v>
      </c>
      <c r="D229" s="4" t="s">
        <v>16</v>
      </c>
      <c r="E229" s="10">
        <v>-15668.55</v>
      </c>
      <c r="F229" s="9">
        <v>0</v>
      </c>
      <c r="G229" s="9">
        <v>0</v>
      </c>
      <c r="H229" s="9">
        <v>0</v>
      </c>
      <c r="I229" s="10">
        <v>-15668.55</v>
      </c>
    </row>
    <row r="230" spans="1:9" x14ac:dyDescent="0.25">
      <c r="A230" s="3"/>
      <c r="B230" s="4" t="s">
        <v>170</v>
      </c>
      <c r="C230" s="8">
        <v>45683</v>
      </c>
      <c r="D230" s="4" t="s">
        <v>13</v>
      </c>
      <c r="E230" s="9">
        <v>101.93</v>
      </c>
      <c r="F230" s="9">
        <v>0</v>
      </c>
      <c r="G230" s="9">
        <v>0</v>
      </c>
      <c r="H230" s="9">
        <v>101.93</v>
      </c>
      <c r="I230" s="9">
        <v>0</v>
      </c>
    </row>
    <row r="231" spans="1:9" x14ac:dyDescent="0.25">
      <c r="A231" s="3"/>
      <c r="B231" s="4" t="s">
        <v>171</v>
      </c>
      <c r="C231" s="8">
        <v>45709</v>
      </c>
      <c r="D231" s="4" t="s">
        <v>13</v>
      </c>
      <c r="E231" s="9">
        <v>93292.800000000003</v>
      </c>
      <c r="F231" s="9">
        <v>0</v>
      </c>
      <c r="G231" s="9">
        <v>93292.800000000003</v>
      </c>
      <c r="H231" s="9">
        <v>0</v>
      </c>
      <c r="I231" s="9">
        <v>0</v>
      </c>
    </row>
    <row r="232" spans="1:9" x14ac:dyDescent="0.25">
      <c r="A232" s="3"/>
      <c r="B232" s="4" t="s">
        <v>172</v>
      </c>
      <c r="C232" s="8">
        <v>45743</v>
      </c>
      <c r="D232" s="4" t="s">
        <v>16</v>
      </c>
      <c r="E232" s="10">
        <v>-46646.400000000001</v>
      </c>
      <c r="F232" s="9">
        <v>0</v>
      </c>
      <c r="G232" s="10">
        <v>-46646.400000000001</v>
      </c>
      <c r="H232" s="9">
        <v>0</v>
      </c>
      <c r="I232" s="9">
        <v>0</v>
      </c>
    </row>
    <row r="233" spans="1:9" x14ac:dyDescent="0.25">
      <c r="A233" s="3"/>
      <c r="B233" s="4" t="s">
        <v>173</v>
      </c>
      <c r="C233" s="8">
        <v>45716</v>
      </c>
      <c r="D233" s="4" t="s">
        <v>13</v>
      </c>
      <c r="E233" s="9">
        <v>99.22</v>
      </c>
      <c r="F233" s="9">
        <v>0</v>
      </c>
      <c r="G233" s="9">
        <v>99.22</v>
      </c>
      <c r="H233" s="9">
        <v>0</v>
      </c>
      <c r="I233" s="9">
        <v>0</v>
      </c>
    </row>
    <row r="234" spans="1:9" x14ac:dyDescent="0.25">
      <c r="A234" s="3"/>
      <c r="B234" s="4" t="s">
        <v>174</v>
      </c>
      <c r="C234" s="8">
        <v>45747</v>
      </c>
      <c r="D234" s="4" t="s">
        <v>13</v>
      </c>
      <c r="E234" s="11">
        <v>433.93</v>
      </c>
      <c r="F234" s="11">
        <v>433.93</v>
      </c>
      <c r="G234" s="11">
        <v>0</v>
      </c>
      <c r="H234" s="11">
        <v>0</v>
      </c>
      <c r="I234" s="11">
        <v>0</v>
      </c>
    </row>
    <row r="236" spans="1:9" x14ac:dyDescent="0.25">
      <c r="A236" s="7" t="s">
        <v>23</v>
      </c>
      <c r="B236" s="3"/>
      <c r="C236" s="3"/>
      <c r="D236" s="3"/>
      <c r="E236" s="9">
        <f>SUBTOTAL(9,E217:E234)</f>
        <v>47281.479999999996</v>
      </c>
      <c r="F236" s="9">
        <f>SUBTOTAL(9,F217:F234)</f>
        <v>433.93</v>
      </c>
      <c r="G236" s="9">
        <f>SUBTOTAL(9,G217:G234)</f>
        <v>46745.62</v>
      </c>
      <c r="H236" s="9">
        <f>SUBTOTAL(9,H217:H234)</f>
        <v>101.93</v>
      </c>
      <c r="I236" s="9">
        <f>SUBTOTAL(9,I217:I234)</f>
        <v>0</v>
      </c>
    </row>
    <row r="238" spans="1:9" x14ac:dyDescent="0.25">
      <c r="A238" s="7" t="s">
        <v>175</v>
      </c>
    </row>
    <row r="239" spans="1:9" x14ac:dyDescent="0.25">
      <c r="A239" s="3"/>
      <c r="B239" s="4" t="s">
        <v>176</v>
      </c>
      <c r="C239" s="8">
        <v>45154</v>
      </c>
      <c r="D239" s="4" t="s">
        <v>13</v>
      </c>
      <c r="E239" s="9">
        <v>868.12</v>
      </c>
      <c r="F239" s="9">
        <v>0</v>
      </c>
      <c r="G239" s="9">
        <v>0</v>
      </c>
      <c r="H239" s="9">
        <v>0</v>
      </c>
      <c r="I239" s="9">
        <v>868.12</v>
      </c>
    </row>
    <row r="240" spans="1:9" x14ac:dyDescent="0.25">
      <c r="A240" s="3"/>
      <c r="B240" s="4" t="s">
        <v>177</v>
      </c>
      <c r="C240" s="8">
        <v>45250</v>
      </c>
      <c r="D240" s="4" t="s">
        <v>16</v>
      </c>
      <c r="E240" s="10">
        <v>-868.12</v>
      </c>
      <c r="F240" s="9">
        <v>0</v>
      </c>
      <c r="G240" s="9">
        <v>0</v>
      </c>
      <c r="H240" s="9">
        <v>0</v>
      </c>
      <c r="I240" s="10">
        <v>-868.12</v>
      </c>
    </row>
    <row r="241" spans="1:9" x14ac:dyDescent="0.25">
      <c r="A241" s="3"/>
      <c r="B241" s="4" t="s">
        <v>178</v>
      </c>
      <c r="C241" s="8">
        <v>45449</v>
      </c>
      <c r="D241" s="4" t="s">
        <v>13</v>
      </c>
      <c r="E241" s="9">
        <v>34200</v>
      </c>
      <c r="F241" s="9">
        <v>0</v>
      </c>
      <c r="G241" s="9">
        <v>0</v>
      </c>
      <c r="H241" s="9">
        <v>0</v>
      </c>
      <c r="I241" s="9">
        <v>34200</v>
      </c>
    </row>
    <row r="242" spans="1:9" x14ac:dyDescent="0.25">
      <c r="A242" s="3"/>
      <c r="B242" s="4" t="s">
        <v>179</v>
      </c>
      <c r="C242" s="8">
        <v>45578</v>
      </c>
      <c r="D242" s="4" t="s">
        <v>16</v>
      </c>
      <c r="E242" s="10">
        <v>-34200</v>
      </c>
      <c r="F242" s="9">
        <v>0</v>
      </c>
      <c r="G242" s="9">
        <v>0</v>
      </c>
      <c r="H242" s="9">
        <v>0</v>
      </c>
      <c r="I242" s="10">
        <v>-34200</v>
      </c>
    </row>
    <row r="243" spans="1:9" x14ac:dyDescent="0.25">
      <c r="A243" s="3"/>
      <c r="B243" s="4" t="s">
        <v>180</v>
      </c>
      <c r="C243" s="8">
        <v>45545</v>
      </c>
      <c r="D243" s="4" t="s">
        <v>13</v>
      </c>
      <c r="E243" s="9">
        <v>8720.7800000000007</v>
      </c>
      <c r="F243" s="9">
        <v>0</v>
      </c>
      <c r="G243" s="9">
        <v>0</v>
      </c>
      <c r="H243" s="9">
        <v>0</v>
      </c>
      <c r="I243" s="9">
        <v>8720.7800000000007</v>
      </c>
    </row>
    <row r="244" spans="1:9" x14ac:dyDescent="0.25">
      <c r="A244" s="3"/>
      <c r="B244" s="4" t="s">
        <v>179</v>
      </c>
      <c r="C244" s="8">
        <v>45578</v>
      </c>
      <c r="D244" s="4" t="s">
        <v>16</v>
      </c>
      <c r="E244" s="10">
        <v>-8720.7800000000007</v>
      </c>
      <c r="F244" s="9">
        <v>0</v>
      </c>
      <c r="G244" s="9">
        <v>0</v>
      </c>
      <c r="H244" s="9">
        <v>0</v>
      </c>
      <c r="I244" s="10">
        <v>-8720.7800000000007</v>
      </c>
    </row>
    <row r="245" spans="1:9" x14ac:dyDescent="0.25">
      <c r="A245" s="3"/>
      <c r="B245" s="4" t="s">
        <v>119</v>
      </c>
      <c r="C245" s="8">
        <v>45716</v>
      </c>
      <c r="D245" s="4" t="s">
        <v>13</v>
      </c>
      <c r="E245" s="9">
        <v>99.89</v>
      </c>
      <c r="F245" s="9">
        <v>0</v>
      </c>
      <c r="G245" s="9">
        <v>99.89</v>
      </c>
      <c r="H245" s="9">
        <v>0</v>
      </c>
      <c r="I245" s="9">
        <v>0</v>
      </c>
    </row>
    <row r="246" spans="1:9" x14ac:dyDescent="0.25">
      <c r="A246" s="3"/>
      <c r="B246" s="4" t="s">
        <v>140</v>
      </c>
      <c r="C246" s="8">
        <v>45722</v>
      </c>
      <c r="D246" s="4" t="s">
        <v>13</v>
      </c>
      <c r="E246" s="9">
        <v>84750</v>
      </c>
      <c r="F246" s="9">
        <v>84750</v>
      </c>
      <c r="G246" s="9">
        <v>0</v>
      </c>
      <c r="H246" s="9">
        <v>0</v>
      </c>
      <c r="I246" s="9">
        <v>0</v>
      </c>
    </row>
    <row r="247" spans="1:9" x14ac:dyDescent="0.25">
      <c r="A247" s="3"/>
      <c r="B247" s="4" t="s">
        <v>181</v>
      </c>
      <c r="C247" s="8">
        <v>45747</v>
      </c>
      <c r="D247" s="4" t="s">
        <v>182</v>
      </c>
      <c r="E247" s="12">
        <v>-99.01</v>
      </c>
      <c r="F247" s="12">
        <v>-99.01</v>
      </c>
      <c r="G247" s="11">
        <v>0</v>
      </c>
      <c r="H247" s="11">
        <v>0</v>
      </c>
      <c r="I247" s="11">
        <v>0</v>
      </c>
    </row>
    <row r="249" spans="1:9" x14ac:dyDescent="0.25">
      <c r="A249" s="7" t="s">
        <v>23</v>
      </c>
      <c r="B249" s="3"/>
      <c r="C249" s="3"/>
      <c r="D249" s="3"/>
      <c r="E249" s="9">
        <f>SUBTOTAL(9,E239:E247)</f>
        <v>84750.88</v>
      </c>
      <c r="F249" s="9">
        <f>SUBTOTAL(9,F239:F247)</f>
        <v>84650.99</v>
      </c>
      <c r="G249" s="9">
        <f>SUBTOTAL(9,G239:G247)</f>
        <v>99.89</v>
      </c>
      <c r="H249" s="9">
        <f>SUBTOTAL(9,H239:H247)</f>
        <v>0</v>
      </c>
      <c r="I249" s="9">
        <f>SUBTOTAL(9,I239:I247)</f>
        <v>0</v>
      </c>
    </row>
    <row r="251" spans="1:9" x14ac:dyDescent="0.25">
      <c r="A251" s="7" t="s">
        <v>183</v>
      </c>
    </row>
    <row r="252" spans="1:9" x14ac:dyDescent="0.25">
      <c r="A252" s="3"/>
      <c r="B252" s="4" t="s">
        <v>184</v>
      </c>
      <c r="C252" s="8">
        <v>45213</v>
      </c>
      <c r="D252" s="4" t="s">
        <v>13</v>
      </c>
      <c r="E252" s="9">
        <v>804.38</v>
      </c>
      <c r="F252" s="9">
        <v>0</v>
      </c>
      <c r="G252" s="9">
        <v>0</v>
      </c>
      <c r="H252" s="9">
        <v>0</v>
      </c>
      <c r="I252" s="9">
        <v>804.38</v>
      </c>
    </row>
    <row r="253" spans="1:9" x14ac:dyDescent="0.25">
      <c r="A253" s="3"/>
      <c r="B253" s="4" t="s">
        <v>185</v>
      </c>
      <c r="C253" s="8">
        <v>45257</v>
      </c>
      <c r="D253" s="4" t="s">
        <v>16</v>
      </c>
      <c r="E253" s="10">
        <v>-804.38</v>
      </c>
      <c r="F253" s="9">
        <v>0</v>
      </c>
      <c r="G253" s="9">
        <v>0</v>
      </c>
      <c r="H253" s="9">
        <v>0</v>
      </c>
      <c r="I253" s="10">
        <v>-804.38</v>
      </c>
    </row>
    <row r="254" spans="1:9" x14ac:dyDescent="0.25">
      <c r="A254" s="3"/>
      <c r="B254" s="4" t="s">
        <v>186</v>
      </c>
      <c r="C254" s="8">
        <v>45452</v>
      </c>
      <c r="D254" s="4" t="s">
        <v>13</v>
      </c>
      <c r="E254" s="9">
        <v>7141.12</v>
      </c>
      <c r="F254" s="9">
        <v>0</v>
      </c>
      <c r="G254" s="9">
        <v>0</v>
      </c>
      <c r="H254" s="9">
        <v>0</v>
      </c>
      <c r="I254" s="9">
        <v>7141.12</v>
      </c>
    </row>
    <row r="255" spans="1:9" x14ac:dyDescent="0.25">
      <c r="A255" s="3"/>
      <c r="B255" s="4" t="s">
        <v>187</v>
      </c>
      <c r="C255" s="8">
        <v>45531</v>
      </c>
      <c r="D255" s="4" t="s">
        <v>16</v>
      </c>
      <c r="E255" s="10">
        <v>-7141.12</v>
      </c>
      <c r="F255" s="9">
        <v>0</v>
      </c>
      <c r="G255" s="9">
        <v>0</v>
      </c>
      <c r="H255" s="9">
        <v>0</v>
      </c>
      <c r="I255" s="10">
        <v>-7141.12</v>
      </c>
    </row>
    <row r="256" spans="1:9" x14ac:dyDescent="0.25">
      <c r="A256" s="3"/>
      <c r="B256" s="4" t="s">
        <v>188</v>
      </c>
      <c r="C256" s="8">
        <v>45488</v>
      </c>
      <c r="D256" s="4" t="s">
        <v>13</v>
      </c>
      <c r="E256" s="9">
        <v>797.33</v>
      </c>
      <c r="F256" s="9">
        <v>0</v>
      </c>
      <c r="G256" s="9">
        <v>0</v>
      </c>
      <c r="H256" s="9">
        <v>0</v>
      </c>
      <c r="I256" s="9">
        <v>797.33</v>
      </c>
    </row>
    <row r="257" spans="1:9" x14ac:dyDescent="0.25">
      <c r="A257" s="3"/>
      <c r="B257" s="4" t="s">
        <v>187</v>
      </c>
      <c r="C257" s="8">
        <v>45531</v>
      </c>
      <c r="D257" s="4" t="s">
        <v>16</v>
      </c>
      <c r="E257" s="10">
        <v>-797.33</v>
      </c>
      <c r="F257" s="9">
        <v>0</v>
      </c>
      <c r="G257" s="9">
        <v>0</v>
      </c>
      <c r="H257" s="9">
        <v>0</v>
      </c>
      <c r="I257" s="10">
        <v>-797.33</v>
      </c>
    </row>
    <row r="258" spans="1:9" x14ac:dyDescent="0.25">
      <c r="A258" s="3"/>
      <c r="B258" s="4" t="s">
        <v>189</v>
      </c>
      <c r="C258" s="8">
        <v>45694</v>
      </c>
      <c r="D258" s="4" t="s">
        <v>13</v>
      </c>
      <c r="E258" s="11">
        <v>56614.400000000001</v>
      </c>
      <c r="F258" s="11">
        <v>0</v>
      </c>
      <c r="G258" s="11">
        <v>56614.400000000001</v>
      </c>
      <c r="H258" s="11">
        <v>0</v>
      </c>
      <c r="I258" s="11">
        <v>0</v>
      </c>
    </row>
    <row r="260" spans="1:9" x14ac:dyDescent="0.25">
      <c r="A260" s="7" t="s">
        <v>23</v>
      </c>
      <c r="B260" s="3"/>
      <c r="C260" s="3"/>
      <c r="D260" s="3"/>
      <c r="E260" s="9">
        <f>SUBTOTAL(9,E252:E258)</f>
        <v>56614.400000000001</v>
      </c>
      <c r="F260" s="9">
        <f>SUBTOTAL(9,F252:F258)</f>
        <v>0</v>
      </c>
      <c r="G260" s="9">
        <f>SUBTOTAL(9,G252:G258)</f>
        <v>56614.400000000001</v>
      </c>
      <c r="H260" s="9">
        <f>SUBTOTAL(9,H252:H258)</f>
        <v>0</v>
      </c>
      <c r="I260" s="9">
        <f>SUBTOTAL(9,I252:I258)</f>
        <v>0</v>
      </c>
    </row>
    <row r="262" spans="1:9" x14ac:dyDescent="0.25">
      <c r="A262" s="7" t="s">
        <v>190</v>
      </c>
    </row>
    <row r="263" spans="1:9" x14ac:dyDescent="0.25">
      <c r="A263" s="3"/>
      <c r="B263" s="4" t="s">
        <v>191</v>
      </c>
      <c r="C263" s="8">
        <v>45266</v>
      </c>
      <c r="D263" s="4" t="s">
        <v>13</v>
      </c>
      <c r="E263" s="9">
        <v>9752.7000000000007</v>
      </c>
      <c r="F263" s="9">
        <v>0</v>
      </c>
      <c r="G263" s="9">
        <v>0</v>
      </c>
      <c r="H263" s="9">
        <v>0</v>
      </c>
      <c r="I263" s="9">
        <v>9752.7000000000007</v>
      </c>
    </row>
    <row r="264" spans="1:9" x14ac:dyDescent="0.25">
      <c r="A264" s="3"/>
      <c r="B264" s="4" t="s">
        <v>192</v>
      </c>
      <c r="C264" s="8">
        <v>45332</v>
      </c>
      <c r="D264" s="4" t="s">
        <v>16</v>
      </c>
      <c r="E264" s="10">
        <v>-9752.7000000000007</v>
      </c>
      <c r="F264" s="9">
        <v>0</v>
      </c>
      <c r="G264" s="9">
        <v>0</v>
      </c>
      <c r="H264" s="9">
        <v>0</v>
      </c>
      <c r="I264" s="10">
        <v>-9752.7000000000007</v>
      </c>
    </row>
    <row r="265" spans="1:9" x14ac:dyDescent="0.25">
      <c r="A265" s="3"/>
      <c r="B265" s="4" t="s">
        <v>20</v>
      </c>
      <c r="C265" s="8">
        <v>45269</v>
      </c>
      <c r="D265" s="4" t="s">
        <v>13</v>
      </c>
      <c r="E265" s="9">
        <v>22800</v>
      </c>
      <c r="F265" s="9">
        <v>0</v>
      </c>
      <c r="G265" s="9">
        <v>0</v>
      </c>
      <c r="H265" s="9">
        <v>0</v>
      </c>
      <c r="I265" s="9">
        <v>22800</v>
      </c>
    </row>
    <row r="266" spans="1:9" x14ac:dyDescent="0.25">
      <c r="A266" s="3"/>
      <c r="B266" s="4" t="s">
        <v>14</v>
      </c>
      <c r="C266" s="8">
        <v>45269</v>
      </c>
      <c r="D266" s="4" t="s">
        <v>15</v>
      </c>
      <c r="E266" s="10">
        <v>-400</v>
      </c>
      <c r="F266" s="9">
        <v>0</v>
      </c>
      <c r="G266" s="9">
        <v>0</v>
      </c>
      <c r="H266" s="9">
        <v>0</v>
      </c>
      <c r="I266" s="10">
        <v>-400</v>
      </c>
    </row>
    <row r="267" spans="1:9" x14ac:dyDescent="0.25">
      <c r="A267" s="3"/>
      <c r="B267" s="4" t="s">
        <v>14</v>
      </c>
      <c r="C267" s="8">
        <v>45269</v>
      </c>
      <c r="D267" s="4" t="s">
        <v>16</v>
      </c>
      <c r="E267" s="10">
        <v>-22400</v>
      </c>
      <c r="F267" s="9">
        <v>0</v>
      </c>
      <c r="G267" s="9">
        <v>0</v>
      </c>
      <c r="H267" s="9">
        <v>0</v>
      </c>
      <c r="I267" s="10">
        <v>-22400</v>
      </c>
    </row>
    <row r="268" spans="1:9" x14ac:dyDescent="0.25">
      <c r="A268" s="3"/>
      <c r="B268" s="4" t="s">
        <v>193</v>
      </c>
      <c r="C268" s="8">
        <v>45363</v>
      </c>
      <c r="D268" s="4" t="s">
        <v>13</v>
      </c>
      <c r="E268" s="9">
        <v>17120</v>
      </c>
      <c r="F268" s="9">
        <v>0</v>
      </c>
      <c r="G268" s="9">
        <v>0</v>
      </c>
      <c r="H268" s="9">
        <v>0</v>
      </c>
      <c r="I268" s="9">
        <v>17120</v>
      </c>
    </row>
    <row r="269" spans="1:9" x14ac:dyDescent="0.25">
      <c r="A269" s="3"/>
      <c r="B269" s="4" t="s">
        <v>194</v>
      </c>
      <c r="C269" s="8">
        <v>45404</v>
      </c>
      <c r="D269" s="4" t="s">
        <v>16</v>
      </c>
      <c r="E269" s="10">
        <v>-17120</v>
      </c>
      <c r="F269" s="9">
        <v>0</v>
      </c>
      <c r="G269" s="9">
        <v>0</v>
      </c>
      <c r="H269" s="9">
        <v>0</v>
      </c>
      <c r="I269" s="10">
        <v>-17120</v>
      </c>
    </row>
    <row r="270" spans="1:9" x14ac:dyDescent="0.25">
      <c r="A270" s="3"/>
      <c r="B270" s="4" t="s">
        <v>195</v>
      </c>
      <c r="C270" s="8">
        <v>45490</v>
      </c>
      <c r="D270" s="4" t="s">
        <v>13</v>
      </c>
      <c r="E270" s="9">
        <v>4322.25</v>
      </c>
      <c r="F270" s="9">
        <v>0</v>
      </c>
      <c r="G270" s="9">
        <v>0</v>
      </c>
      <c r="H270" s="9">
        <v>0</v>
      </c>
      <c r="I270" s="9">
        <v>4322.25</v>
      </c>
    </row>
    <row r="271" spans="1:9" x14ac:dyDescent="0.25">
      <c r="A271" s="3"/>
      <c r="B271" s="4" t="s">
        <v>196</v>
      </c>
      <c r="C271" s="8">
        <v>45531</v>
      </c>
      <c r="D271" s="4" t="s">
        <v>16</v>
      </c>
      <c r="E271" s="10">
        <v>-4322.25</v>
      </c>
      <c r="F271" s="9">
        <v>0</v>
      </c>
      <c r="G271" s="9">
        <v>0</v>
      </c>
      <c r="H271" s="9">
        <v>0</v>
      </c>
      <c r="I271" s="10">
        <v>-4322.25</v>
      </c>
    </row>
    <row r="272" spans="1:9" x14ac:dyDescent="0.25">
      <c r="A272" s="3"/>
      <c r="B272" s="4" t="s">
        <v>197</v>
      </c>
      <c r="C272" s="8">
        <v>45547</v>
      </c>
      <c r="D272" s="4" t="s">
        <v>13</v>
      </c>
      <c r="E272" s="9">
        <v>9667.15</v>
      </c>
      <c r="F272" s="9">
        <v>0</v>
      </c>
      <c r="G272" s="9">
        <v>0</v>
      </c>
      <c r="H272" s="9">
        <v>0</v>
      </c>
      <c r="I272" s="9">
        <v>9667.15</v>
      </c>
    </row>
    <row r="273" spans="1:9" x14ac:dyDescent="0.25">
      <c r="A273" s="3"/>
      <c r="B273" s="4" t="s">
        <v>198</v>
      </c>
      <c r="C273" s="8">
        <v>45606</v>
      </c>
      <c r="D273" s="4" t="s">
        <v>16</v>
      </c>
      <c r="E273" s="10">
        <v>-9667.15</v>
      </c>
      <c r="F273" s="9">
        <v>0</v>
      </c>
      <c r="G273" s="9">
        <v>0</v>
      </c>
      <c r="H273" s="9">
        <v>0</v>
      </c>
      <c r="I273" s="10">
        <v>-9667.15</v>
      </c>
    </row>
    <row r="274" spans="1:9" x14ac:dyDescent="0.25">
      <c r="A274" s="3"/>
      <c r="B274" s="4" t="s">
        <v>199</v>
      </c>
      <c r="C274" s="8">
        <v>45639</v>
      </c>
      <c r="D274" s="4" t="s">
        <v>13</v>
      </c>
      <c r="E274" s="9">
        <v>24910</v>
      </c>
      <c r="F274" s="9">
        <v>0</v>
      </c>
      <c r="G274" s="9">
        <v>0</v>
      </c>
      <c r="H274" s="9">
        <v>0</v>
      </c>
      <c r="I274" s="9">
        <v>24910</v>
      </c>
    </row>
    <row r="275" spans="1:9" x14ac:dyDescent="0.25">
      <c r="A275" s="3"/>
      <c r="B275" s="4" t="s">
        <v>200</v>
      </c>
      <c r="C275" s="8">
        <v>45679</v>
      </c>
      <c r="D275" s="4" t="s">
        <v>16</v>
      </c>
      <c r="E275" s="10">
        <v>-24910</v>
      </c>
      <c r="F275" s="9">
        <v>0</v>
      </c>
      <c r="G275" s="9">
        <v>0</v>
      </c>
      <c r="H275" s="9">
        <v>0</v>
      </c>
      <c r="I275" s="10">
        <v>-24910</v>
      </c>
    </row>
    <row r="276" spans="1:9" x14ac:dyDescent="0.25">
      <c r="A276" s="3"/>
      <c r="B276" s="4" t="s">
        <v>108</v>
      </c>
      <c r="C276" s="8">
        <v>45688</v>
      </c>
      <c r="D276" s="4" t="s">
        <v>13</v>
      </c>
      <c r="E276" s="9">
        <v>169.5</v>
      </c>
      <c r="F276" s="9">
        <v>0</v>
      </c>
      <c r="G276" s="9">
        <v>169.5</v>
      </c>
      <c r="H276" s="9">
        <v>0</v>
      </c>
      <c r="I276" s="9">
        <v>0</v>
      </c>
    </row>
    <row r="277" spans="1:9" x14ac:dyDescent="0.25">
      <c r="A277" s="3"/>
      <c r="B277" s="4" t="s">
        <v>140</v>
      </c>
      <c r="C277" s="8">
        <v>45716</v>
      </c>
      <c r="D277" s="4" t="s">
        <v>13</v>
      </c>
      <c r="E277" s="9">
        <v>210.53</v>
      </c>
      <c r="F277" s="9">
        <v>0</v>
      </c>
      <c r="G277" s="9">
        <v>210.53</v>
      </c>
      <c r="H277" s="9">
        <v>0</v>
      </c>
      <c r="I277" s="9">
        <v>0</v>
      </c>
    </row>
    <row r="278" spans="1:9" x14ac:dyDescent="0.25">
      <c r="A278" s="3"/>
      <c r="B278" s="4" t="s">
        <v>201</v>
      </c>
      <c r="C278" s="8">
        <v>45747</v>
      </c>
      <c r="D278" s="4" t="s">
        <v>13</v>
      </c>
      <c r="E278" s="11">
        <v>267.25</v>
      </c>
      <c r="F278" s="11">
        <v>267.25</v>
      </c>
      <c r="G278" s="11">
        <v>0</v>
      </c>
      <c r="H278" s="11">
        <v>0</v>
      </c>
      <c r="I278" s="11">
        <v>0</v>
      </c>
    </row>
    <row r="280" spans="1:9" x14ac:dyDescent="0.25">
      <c r="A280" s="7" t="s">
        <v>23</v>
      </c>
      <c r="B280" s="3"/>
      <c r="C280" s="3"/>
      <c r="D280" s="3"/>
      <c r="E280" s="9">
        <f>SUBTOTAL(9,E263:E278)</f>
        <v>647.28</v>
      </c>
      <c r="F280" s="9">
        <f>SUBTOTAL(9,F263:F278)</f>
        <v>267.25</v>
      </c>
      <c r="G280" s="9">
        <f>SUBTOTAL(9,G263:G278)</f>
        <v>380.03</v>
      </c>
      <c r="H280" s="9">
        <f>SUBTOTAL(9,H263:H278)</f>
        <v>0</v>
      </c>
      <c r="I280" s="9">
        <f>SUBTOTAL(9,I263:I278)</f>
        <v>0</v>
      </c>
    </row>
    <row r="282" spans="1:9" x14ac:dyDescent="0.25">
      <c r="A282" s="7" t="s">
        <v>202</v>
      </c>
    </row>
    <row r="283" spans="1:9" x14ac:dyDescent="0.25">
      <c r="A283" s="3"/>
      <c r="B283" s="4" t="s">
        <v>203</v>
      </c>
      <c r="C283" s="8">
        <v>45169</v>
      </c>
      <c r="D283" s="4" t="s">
        <v>13</v>
      </c>
      <c r="E283" s="9">
        <v>4868.5</v>
      </c>
      <c r="F283" s="9">
        <v>0</v>
      </c>
      <c r="G283" s="9">
        <v>0</v>
      </c>
      <c r="H283" s="9">
        <v>0</v>
      </c>
      <c r="I283" s="9">
        <v>4868.5</v>
      </c>
    </row>
    <row r="284" spans="1:9" x14ac:dyDescent="0.25">
      <c r="A284" s="3"/>
      <c r="B284" s="4" t="s">
        <v>120</v>
      </c>
      <c r="C284" s="8">
        <v>45169</v>
      </c>
      <c r="D284" s="4" t="s">
        <v>15</v>
      </c>
      <c r="E284" s="10">
        <v>-91</v>
      </c>
      <c r="F284" s="9">
        <v>0</v>
      </c>
      <c r="G284" s="9">
        <v>0</v>
      </c>
      <c r="H284" s="9">
        <v>0</v>
      </c>
      <c r="I284" s="10">
        <v>-91</v>
      </c>
    </row>
    <row r="285" spans="1:9" x14ac:dyDescent="0.25">
      <c r="A285" s="3"/>
      <c r="B285" s="4" t="s">
        <v>120</v>
      </c>
      <c r="C285" s="8">
        <v>45169</v>
      </c>
      <c r="D285" s="4" t="s">
        <v>16</v>
      </c>
      <c r="E285" s="10">
        <v>-4777.5</v>
      </c>
      <c r="F285" s="9">
        <v>0</v>
      </c>
      <c r="G285" s="9">
        <v>0</v>
      </c>
      <c r="H285" s="9">
        <v>0</v>
      </c>
      <c r="I285" s="10">
        <v>-4777.5</v>
      </c>
    </row>
    <row r="286" spans="1:9" x14ac:dyDescent="0.25">
      <c r="A286" s="3"/>
      <c r="B286" s="4" t="s">
        <v>204</v>
      </c>
      <c r="C286" s="8">
        <v>45213</v>
      </c>
      <c r="D286" s="4" t="s">
        <v>13</v>
      </c>
      <c r="E286" s="9">
        <v>3978.6</v>
      </c>
      <c r="F286" s="9">
        <v>0</v>
      </c>
      <c r="G286" s="9">
        <v>0</v>
      </c>
      <c r="H286" s="9">
        <v>0</v>
      </c>
      <c r="I286" s="9">
        <v>3978.6</v>
      </c>
    </row>
    <row r="287" spans="1:9" x14ac:dyDescent="0.25">
      <c r="A287" s="3"/>
      <c r="B287" s="4" t="s">
        <v>205</v>
      </c>
      <c r="C287" s="8">
        <v>45257</v>
      </c>
      <c r="D287" s="4" t="s">
        <v>16</v>
      </c>
      <c r="E287" s="10">
        <v>-3978.6</v>
      </c>
      <c r="F287" s="9">
        <v>0</v>
      </c>
      <c r="G287" s="9">
        <v>0</v>
      </c>
      <c r="H287" s="9">
        <v>0</v>
      </c>
      <c r="I287" s="10">
        <v>-3978.6</v>
      </c>
    </row>
    <row r="288" spans="1:9" x14ac:dyDescent="0.25">
      <c r="A288" s="3"/>
      <c r="B288" s="4" t="s">
        <v>139</v>
      </c>
      <c r="C288" s="8">
        <v>45299</v>
      </c>
      <c r="D288" s="4" t="s">
        <v>13</v>
      </c>
      <c r="E288" s="9">
        <v>13110.76</v>
      </c>
      <c r="F288" s="9">
        <v>0</v>
      </c>
      <c r="G288" s="9">
        <v>0</v>
      </c>
      <c r="H288" s="9">
        <v>0</v>
      </c>
      <c r="I288" s="9">
        <v>13110.76</v>
      </c>
    </row>
    <row r="289" spans="1:9" x14ac:dyDescent="0.25">
      <c r="A289" s="3"/>
      <c r="B289" s="4" t="s">
        <v>206</v>
      </c>
      <c r="C289" s="8">
        <v>45339</v>
      </c>
      <c r="D289" s="4" t="s">
        <v>16</v>
      </c>
      <c r="E289" s="10">
        <v>-13110.76</v>
      </c>
      <c r="F289" s="9">
        <v>0</v>
      </c>
      <c r="G289" s="9">
        <v>0</v>
      </c>
      <c r="H289" s="9">
        <v>0</v>
      </c>
      <c r="I289" s="10">
        <v>-13110.76</v>
      </c>
    </row>
    <row r="290" spans="1:9" x14ac:dyDescent="0.25">
      <c r="A290" s="3"/>
      <c r="B290" s="4" t="s">
        <v>207</v>
      </c>
      <c r="C290" s="8">
        <v>45393</v>
      </c>
      <c r="D290" s="4" t="s">
        <v>13</v>
      </c>
      <c r="E290" s="9">
        <v>26750</v>
      </c>
      <c r="F290" s="9">
        <v>0</v>
      </c>
      <c r="G290" s="9">
        <v>0</v>
      </c>
      <c r="H290" s="9">
        <v>0</v>
      </c>
      <c r="I290" s="9">
        <v>26750</v>
      </c>
    </row>
    <row r="291" spans="1:9" x14ac:dyDescent="0.25">
      <c r="A291" s="3"/>
      <c r="B291" s="4" t="s">
        <v>208</v>
      </c>
      <c r="C291" s="8">
        <v>45427</v>
      </c>
      <c r="D291" s="4" t="s">
        <v>16</v>
      </c>
      <c r="E291" s="10">
        <v>-26750</v>
      </c>
      <c r="F291" s="9">
        <v>0</v>
      </c>
      <c r="G291" s="9">
        <v>0</v>
      </c>
      <c r="H291" s="9">
        <v>0</v>
      </c>
      <c r="I291" s="10">
        <v>-26750</v>
      </c>
    </row>
    <row r="292" spans="1:9" x14ac:dyDescent="0.25">
      <c r="A292" s="3"/>
      <c r="B292" s="4" t="s">
        <v>209</v>
      </c>
      <c r="C292" s="8">
        <v>45553</v>
      </c>
      <c r="D292" s="4" t="s">
        <v>13</v>
      </c>
      <c r="E292" s="9">
        <v>20057.5</v>
      </c>
      <c r="F292" s="9">
        <v>0</v>
      </c>
      <c r="G292" s="9">
        <v>0</v>
      </c>
      <c r="H292" s="9">
        <v>0</v>
      </c>
      <c r="I292" s="9">
        <v>20057.5</v>
      </c>
    </row>
    <row r="293" spans="1:9" x14ac:dyDescent="0.25">
      <c r="A293" s="3"/>
      <c r="B293" s="4" t="s">
        <v>14</v>
      </c>
      <c r="C293" s="8">
        <v>45553</v>
      </c>
      <c r="D293" s="4" t="s">
        <v>15</v>
      </c>
      <c r="E293" s="10">
        <v>-355</v>
      </c>
      <c r="F293" s="9">
        <v>0</v>
      </c>
      <c r="G293" s="9">
        <v>0</v>
      </c>
      <c r="H293" s="9">
        <v>0</v>
      </c>
      <c r="I293" s="10">
        <v>-355</v>
      </c>
    </row>
    <row r="294" spans="1:9" x14ac:dyDescent="0.25">
      <c r="A294" s="3"/>
      <c r="B294" s="4" t="s">
        <v>14</v>
      </c>
      <c r="C294" s="8">
        <v>45553</v>
      </c>
      <c r="D294" s="4" t="s">
        <v>16</v>
      </c>
      <c r="E294" s="10">
        <v>-19702.5</v>
      </c>
      <c r="F294" s="9">
        <v>0</v>
      </c>
      <c r="G294" s="9">
        <v>0</v>
      </c>
      <c r="H294" s="9">
        <v>0</v>
      </c>
      <c r="I294" s="10">
        <v>-19702.5</v>
      </c>
    </row>
    <row r="295" spans="1:9" x14ac:dyDescent="0.25">
      <c r="A295" s="3"/>
      <c r="B295" s="4" t="s">
        <v>210</v>
      </c>
      <c r="C295" s="8">
        <v>45575</v>
      </c>
      <c r="D295" s="4" t="s">
        <v>13</v>
      </c>
      <c r="E295" s="9">
        <v>12988.38</v>
      </c>
      <c r="F295" s="9">
        <v>0</v>
      </c>
      <c r="G295" s="9">
        <v>0</v>
      </c>
      <c r="H295" s="9">
        <v>0</v>
      </c>
      <c r="I295" s="9">
        <v>12988.38</v>
      </c>
    </row>
    <row r="296" spans="1:9" x14ac:dyDescent="0.25">
      <c r="A296" s="3"/>
      <c r="B296" s="4" t="s">
        <v>211</v>
      </c>
      <c r="C296" s="8">
        <v>45747</v>
      </c>
      <c r="D296" s="4" t="s">
        <v>13</v>
      </c>
      <c r="E296" s="11">
        <v>935.64</v>
      </c>
      <c r="F296" s="11">
        <v>935.64</v>
      </c>
      <c r="G296" s="11">
        <v>0</v>
      </c>
      <c r="H296" s="11">
        <v>0</v>
      </c>
      <c r="I296" s="11">
        <v>0</v>
      </c>
    </row>
    <row r="298" spans="1:9" x14ac:dyDescent="0.25">
      <c r="A298" s="7" t="s">
        <v>23</v>
      </c>
      <c r="B298" s="3"/>
      <c r="C298" s="3"/>
      <c r="D298" s="3"/>
      <c r="E298" s="9">
        <f>SUBTOTAL(9,E283:E296)</f>
        <v>13924.019999999999</v>
      </c>
      <c r="F298" s="9">
        <f>SUBTOTAL(9,F283:F296)</f>
        <v>935.64</v>
      </c>
      <c r="G298" s="9">
        <f>SUBTOTAL(9,G283:G296)</f>
        <v>0</v>
      </c>
      <c r="H298" s="9">
        <f>SUBTOTAL(9,H283:H296)</f>
        <v>0</v>
      </c>
      <c r="I298" s="9">
        <f>SUBTOTAL(9,I283:I296)</f>
        <v>12988.38</v>
      </c>
    </row>
    <row r="300" spans="1:9" x14ac:dyDescent="0.25">
      <c r="A300" s="7" t="s">
        <v>212</v>
      </c>
    </row>
    <row r="301" spans="1:9" x14ac:dyDescent="0.25">
      <c r="A301" s="3"/>
      <c r="B301" s="4" t="s">
        <v>213</v>
      </c>
      <c r="C301" s="8">
        <v>45622</v>
      </c>
      <c r="D301" s="4" t="s">
        <v>13</v>
      </c>
      <c r="E301" s="9">
        <v>10600</v>
      </c>
      <c r="F301" s="9">
        <v>0</v>
      </c>
      <c r="G301" s="9">
        <v>0</v>
      </c>
      <c r="H301" s="9">
        <v>0</v>
      </c>
      <c r="I301" s="9">
        <v>10600</v>
      </c>
    </row>
    <row r="302" spans="1:9" x14ac:dyDescent="0.25">
      <c r="A302" s="3"/>
      <c r="B302" s="4" t="s">
        <v>14</v>
      </c>
      <c r="C302" s="8">
        <v>45622</v>
      </c>
      <c r="D302" s="4" t="s">
        <v>15</v>
      </c>
      <c r="E302" s="10">
        <v>-200</v>
      </c>
      <c r="F302" s="9">
        <v>0</v>
      </c>
      <c r="G302" s="9">
        <v>0</v>
      </c>
      <c r="H302" s="9">
        <v>0</v>
      </c>
      <c r="I302" s="10">
        <v>-200</v>
      </c>
    </row>
    <row r="303" spans="1:9" x14ac:dyDescent="0.25">
      <c r="A303" s="3"/>
      <c r="B303" s="4" t="s">
        <v>14</v>
      </c>
      <c r="C303" s="8">
        <v>45622</v>
      </c>
      <c r="D303" s="4" t="s">
        <v>16</v>
      </c>
      <c r="E303" s="10">
        <v>-10400</v>
      </c>
      <c r="F303" s="9">
        <v>0</v>
      </c>
      <c r="G303" s="9">
        <v>0</v>
      </c>
      <c r="H303" s="9">
        <v>0</v>
      </c>
      <c r="I303" s="10">
        <v>-10400</v>
      </c>
    </row>
    <row r="304" spans="1:9" x14ac:dyDescent="0.25">
      <c r="A304" s="3"/>
      <c r="B304" s="4" t="s">
        <v>21</v>
      </c>
      <c r="C304" s="8">
        <v>45688</v>
      </c>
      <c r="D304" s="4" t="s">
        <v>13</v>
      </c>
      <c r="E304" s="9">
        <v>1590</v>
      </c>
      <c r="F304" s="9">
        <v>0</v>
      </c>
      <c r="G304" s="9">
        <v>1590</v>
      </c>
      <c r="H304" s="9">
        <v>0</v>
      </c>
      <c r="I304" s="9">
        <v>0</v>
      </c>
    </row>
    <row r="305" spans="1:9" x14ac:dyDescent="0.25">
      <c r="A305" s="3"/>
      <c r="B305" s="4" t="s">
        <v>139</v>
      </c>
      <c r="C305" s="8">
        <v>45716</v>
      </c>
      <c r="D305" s="4" t="s">
        <v>13</v>
      </c>
      <c r="E305" s="9">
        <v>801.71</v>
      </c>
      <c r="F305" s="9">
        <v>0</v>
      </c>
      <c r="G305" s="9">
        <v>801.71</v>
      </c>
      <c r="H305" s="9">
        <v>0</v>
      </c>
      <c r="I305" s="9">
        <v>0</v>
      </c>
    </row>
    <row r="306" spans="1:9" x14ac:dyDescent="0.25">
      <c r="A306" s="3"/>
      <c r="B306" s="4" t="s">
        <v>214</v>
      </c>
      <c r="C306" s="8">
        <v>45747</v>
      </c>
      <c r="D306" s="4" t="s">
        <v>13</v>
      </c>
      <c r="E306" s="11">
        <v>1458.2</v>
      </c>
      <c r="F306" s="11">
        <v>1458.2</v>
      </c>
      <c r="G306" s="11">
        <v>0</v>
      </c>
      <c r="H306" s="11">
        <v>0</v>
      </c>
      <c r="I306" s="11">
        <v>0</v>
      </c>
    </row>
    <row r="308" spans="1:9" x14ac:dyDescent="0.25">
      <c r="A308" s="7" t="s">
        <v>23</v>
      </c>
      <c r="B308" s="3"/>
      <c r="C308" s="3"/>
      <c r="D308" s="3"/>
      <c r="E308" s="9">
        <f>SUBTOTAL(9,E301:E306)</f>
        <v>3849.91</v>
      </c>
      <c r="F308" s="9">
        <f>SUBTOTAL(9,F301:F306)</f>
        <v>1458.2</v>
      </c>
      <c r="G308" s="9">
        <f>SUBTOTAL(9,G301:G306)</f>
        <v>2391.71</v>
      </c>
      <c r="H308" s="9">
        <f>SUBTOTAL(9,H301:H306)</f>
        <v>0</v>
      </c>
      <c r="I308" s="9">
        <f>SUBTOTAL(9,I301:I306)</f>
        <v>0</v>
      </c>
    </row>
    <row r="310" spans="1:9" x14ac:dyDescent="0.25">
      <c r="A310" s="7" t="s">
        <v>215</v>
      </c>
    </row>
    <row r="311" spans="1:9" x14ac:dyDescent="0.25">
      <c r="A311" s="3"/>
      <c r="B311" s="4" t="s">
        <v>216</v>
      </c>
      <c r="C311" s="8">
        <v>45188</v>
      </c>
      <c r="D311" s="4" t="s">
        <v>13</v>
      </c>
      <c r="E311" s="9">
        <v>19260</v>
      </c>
      <c r="F311" s="9">
        <v>0</v>
      </c>
      <c r="G311" s="9">
        <v>0</v>
      </c>
      <c r="H311" s="9">
        <v>0</v>
      </c>
      <c r="I311" s="9">
        <v>19260</v>
      </c>
    </row>
    <row r="312" spans="1:9" x14ac:dyDescent="0.25">
      <c r="A312" s="3"/>
      <c r="B312" s="4" t="s">
        <v>217</v>
      </c>
      <c r="C312" s="8">
        <v>45188</v>
      </c>
      <c r="D312" s="4" t="s">
        <v>15</v>
      </c>
      <c r="E312" s="10">
        <v>-360</v>
      </c>
      <c r="F312" s="9">
        <v>0</v>
      </c>
      <c r="G312" s="9">
        <v>0</v>
      </c>
      <c r="H312" s="9">
        <v>0</v>
      </c>
      <c r="I312" s="10">
        <v>-360</v>
      </c>
    </row>
    <row r="313" spans="1:9" x14ac:dyDescent="0.25">
      <c r="A313" s="3"/>
      <c r="B313" s="4" t="s">
        <v>217</v>
      </c>
      <c r="C313" s="8">
        <v>45188</v>
      </c>
      <c r="D313" s="4" t="s">
        <v>16</v>
      </c>
      <c r="E313" s="10">
        <v>-18900</v>
      </c>
      <c r="F313" s="9">
        <v>0</v>
      </c>
      <c r="G313" s="9">
        <v>0</v>
      </c>
      <c r="H313" s="9">
        <v>0</v>
      </c>
      <c r="I313" s="10">
        <v>-18900</v>
      </c>
    </row>
    <row r="314" spans="1:9" x14ac:dyDescent="0.25">
      <c r="A314" s="3"/>
      <c r="B314" s="4" t="s">
        <v>218</v>
      </c>
      <c r="C314" s="8">
        <v>45382</v>
      </c>
      <c r="D314" s="4" t="s">
        <v>13</v>
      </c>
      <c r="E314" s="9">
        <v>1070</v>
      </c>
      <c r="F314" s="9">
        <v>0</v>
      </c>
      <c r="G314" s="9">
        <v>0</v>
      </c>
      <c r="H314" s="9">
        <v>0</v>
      </c>
      <c r="I314" s="9">
        <v>1070</v>
      </c>
    </row>
    <row r="315" spans="1:9" x14ac:dyDescent="0.25">
      <c r="A315" s="3"/>
      <c r="B315" s="4" t="s">
        <v>14</v>
      </c>
      <c r="C315" s="8">
        <v>45382</v>
      </c>
      <c r="D315" s="4" t="s">
        <v>15</v>
      </c>
      <c r="E315" s="10">
        <v>-20</v>
      </c>
      <c r="F315" s="9">
        <v>0</v>
      </c>
      <c r="G315" s="9">
        <v>0</v>
      </c>
      <c r="H315" s="9">
        <v>0</v>
      </c>
      <c r="I315" s="10">
        <v>-20</v>
      </c>
    </row>
    <row r="316" spans="1:9" x14ac:dyDescent="0.25">
      <c r="A316" s="3"/>
      <c r="B316" s="4" t="s">
        <v>14</v>
      </c>
      <c r="C316" s="8">
        <v>45382</v>
      </c>
      <c r="D316" s="4" t="s">
        <v>16</v>
      </c>
      <c r="E316" s="10">
        <v>-1050</v>
      </c>
      <c r="F316" s="9">
        <v>0</v>
      </c>
      <c r="G316" s="9">
        <v>0</v>
      </c>
      <c r="H316" s="9">
        <v>0</v>
      </c>
      <c r="I316" s="10">
        <v>-1050</v>
      </c>
    </row>
    <row r="317" spans="1:9" x14ac:dyDescent="0.25">
      <c r="A317" s="3"/>
      <c r="B317" s="4" t="s">
        <v>219</v>
      </c>
      <c r="C317" s="8">
        <v>45545</v>
      </c>
      <c r="D317" s="4" t="s">
        <v>13</v>
      </c>
      <c r="E317" s="9">
        <v>22600</v>
      </c>
      <c r="F317" s="9">
        <v>0</v>
      </c>
      <c r="G317" s="9">
        <v>0</v>
      </c>
      <c r="H317" s="9">
        <v>0</v>
      </c>
      <c r="I317" s="9">
        <v>22600</v>
      </c>
    </row>
    <row r="318" spans="1:9" x14ac:dyDescent="0.25">
      <c r="A318" s="3"/>
      <c r="B318" s="4" t="s">
        <v>14</v>
      </c>
      <c r="C318" s="8">
        <v>45545</v>
      </c>
      <c r="D318" s="4" t="s">
        <v>15</v>
      </c>
      <c r="E318" s="10">
        <v>-400</v>
      </c>
      <c r="F318" s="9">
        <v>0</v>
      </c>
      <c r="G318" s="9">
        <v>0</v>
      </c>
      <c r="H318" s="9">
        <v>0</v>
      </c>
      <c r="I318" s="10">
        <v>-400</v>
      </c>
    </row>
    <row r="319" spans="1:9" x14ac:dyDescent="0.25">
      <c r="A319" s="3"/>
      <c r="B319" s="4" t="s">
        <v>14</v>
      </c>
      <c r="C319" s="8">
        <v>45545</v>
      </c>
      <c r="D319" s="4" t="s">
        <v>16</v>
      </c>
      <c r="E319" s="12">
        <v>-22200</v>
      </c>
      <c r="F319" s="11">
        <v>0</v>
      </c>
      <c r="G319" s="11">
        <v>0</v>
      </c>
      <c r="H319" s="11">
        <v>0</v>
      </c>
      <c r="I319" s="12">
        <v>-22200</v>
      </c>
    </row>
    <row r="321" spans="1:9" x14ac:dyDescent="0.25">
      <c r="A321" s="7" t="s">
        <v>23</v>
      </c>
      <c r="B321" s="3"/>
      <c r="C321" s="3"/>
      <c r="D321" s="3"/>
      <c r="E321" s="9">
        <f>SUBTOTAL(9,E311:E319)</f>
        <v>0</v>
      </c>
      <c r="F321" s="9">
        <f>SUBTOTAL(9,F311:F319)</f>
        <v>0</v>
      </c>
      <c r="G321" s="9">
        <f>SUBTOTAL(9,G311:G319)</f>
        <v>0</v>
      </c>
      <c r="H321" s="9">
        <f>SUBTOTAL(9,H311:H319)</f>
        <v>0</v>
      </c>
      <c r="I321" s="9">
        <f>SUBTOTAL(9,I311:I319)</f>
        <v>0</v>
      </c>
    </row>
    <row r="323" spans="1:9" x14ac:dyDescent="0.25">
      <c r="A323" s="7" t="s">
        <v>220</v>
      </c>
    </row>
    <row r="324" spans="1:9" x14ac:dyDescent="0.25">
      <c r="A324" s="3"/>
      <c r="B324" s="4" t="s">
        <v>221</v>
      </c>
      <c r="C324" s="8">
        <v>45222</v>
      </c>
      <c r="D324" s="4" t="s">
        <v>13</v>
      </c>
      <c r="E324" s="9">
        <v>10374</v>
      </c>
      <c r="F324" s="9">
        <v>0</v>
      </c>
      <c r="G324" s="9">
        <v>0</v>
      </c>
      <c r="H324" s="9">
        <v>0</v>
      </c>
      <c r="I324" s="9">
        <v>10374</v>
      </c>
    </row>
    <row r="325" spans="1:9" x14ac:dyDescent="0.25">
      <c r="A325" s="3"/>
      <c r="B325" s="4" t="s">
        <v>222</v>
      </c>
      <c r="C325" s="8">
        <v>45277</v>
      </c>
      <c r="D325" s="4" t="s">
        <v>16</v>
      </c>
      <c r="E325" s="10">
        <v>-10374</v>
      </c>
      <c r="F325" s="9">
        <v>0</v>
      </c>
      <c r="G325" s="9">
        <v>0</v>
      </c>
      <c r="H325" s="9">
        <v>0</v>
      </c>
      <c r="I325" s="10">
        <v>-10374</v>
      </c>
    </row>
    <row r="326" spans="1:9" x14ac:dyDescent="0.25">
      <c r="A326" s="3"/>
      <c r="B326" s="4" t="s">
        <v>223</v>
      </c>
      <c r="C326" s="8">
        <v>45242</v>
      </c>
      <c r="D326" s="4" t="s">
        <v>13</v>
      </c>
      <c r="E326" s="9">
        <v>5885</v>
      </c>
      <c r="F326" s="9">
        <v>0</v>
      </c>
      <c r="G326" s="9">
        <v>0</v>
      </c>
      <c r="H326" s="9">
        <v>0</v>
      </c>
      <c r="I326" s="9">
        <v>5885</v>
      </c>
    </row>
    <row r="327" spans="1:9" x14ac:dyDescent="0.25">
      <c r="A327" s="3"/>
      <c r="B327" s="4" t="s">
        <v>224</v>
      </c>
      <c r="C327" s="8">
        <v>45322</v>
      </c>
      <c r="D327" s="4" t="s">
        <v>16</v>
      </c>
      <c r="E327" s="10">
        <v>-5885</v>
      </c>
      <c r="F327" s="9">
        <v>0</v>
      </c>
      <c r="G327" s="9">
        <v>0</v>
      </c>
      <c r="H327" s="9">
        <v>0</v>
      </c>
      <c r="I327" s="10">
        <v>-5885</v>
      </c>
    </row>
    <row r="328" spans="1:9" x14ac:dyDescent="0.25">
      <c r="A328" s="3"/>
      <c r="B328" s="4" t="s">
        <v>225</v>
      </c>
      <c r="C328" s="8">
        <v>45382</v>
      </c>
      <c r="D328" s="4" t="s">
        <v>13</v>
      </c>
      <c r="E328" s="9">
        <v>11770</v>
      </c>
      <c r="F328" s="9">
        <v>0</v>
      </c>
      <c r="G328" s="9">
        <v>0</v>
      </c>
      <c r="H328" s="9">
        <v>0</v>
      </c>
      <c r="I328" s="9">
        <v>11770</v>
      </c>
    </row>
    <row r="329" spans="1:9" x14ac:dyDescent="0.25">
      <c r="A329" s="3"/>
      <c r="B329" s="4" t="s">
        <v>226</v>
      </c>
      <c r="C329" s="8">
        <v>45413</v>
      </c>
      <c r="D329" s="4" t="s">
        <v>16</v>
      </c>
      <c r="E329" s="10">
        <v>-11770</v>
      </c>
      <c r="F329" s="9">
        <v>0</v>
      </c>
      <c r="G329" s="9">
        <v>0</v>
      </c>
      <c r="H329" s="9">
        <v>0</v>
      </c>
      <c r="I329" s="10">
        <v>-11770</v>
      </c>
    </row>
    <row r="330" spans="1:9" x14ac:dyDescent="0.25">
      <c r="A330" s="3"/>
      <c r="B330" s="4" t="s">
        <v>227</v>
      </c>
      <c r="C330" s="8">
        <v>45391</v>
      </c>
      <c r="D330" s="4" t="s">
        <v>13</v>
      </c>
      <c r="E330" s="9">
        <v>24510</v>
      </c>
      <c r="F330" s="9">
        <v>0</v>
      </c>
      <c r="G330" s="9">
        <v>0</v>
      </c>
      <c r="H330" s="9">
        <v>0</v>
      </c>
      <c r="I330" s="9">
        <v>24510</v>
      </c>
    </row>
    <row r="331" spans="1:9" x14ac:dyDescent="0.25">
      <c r="A331" s="3"/>
      <c r="B331" s="4" t="s">
        <v>228</v>
      </c>
      <c r="C331" s="8">
        <v>45440</v>
      </c>
      <c r="D331" s="4" t="s">
        <v>16</v>
      </c>
      <c r="E331" s="10">
        <v>-24510</v>
      </c>
      <c r="F331" s="9">
        <v>0</v>
      </c>
      <c r="G331" s="9">
        <v>0</v>
      </c>
      <c r="H331" s="9">
        <v>0</v>
      </c>
      <c r="I331" s="10">
        <v>-24510</v>
      </c>
    </row>
    <row r="332" spans="1:9" x14ac:dyDescent="0.25">
      <c r="A332" s="3"/>
      <c r="B332" s="4" t="s">
        <v>229</v>
      </c>
      <c r="C332" s="8">
        <v>45448</v>
      </c>
      <c r="D332" s="4" t="s">
        <v>13</v>
      </c>
      <c r="E332" s="9">
        <v>28500</v>
      </c>
      <c r="F332" s="9">
        <v>0</v>
      </c>
      <c r="G332" s="9">
        <v>0</v>
      </c>
      <c r="H332" s="9">
        <v>0</v>
      </c>
      <c r="I332" s="9">
        <v>28500</v>
      </c>
    </row>
    <row r="333" spans="1:9" x14ac:dyDescent="0.25">
      <c r="A333" s="3"/>
      <c r="B333" s="4" t="s">
        <v>230</v>
      </c>
      <c r="C333" s="8">
        <v>45552</v>
      </c>
      <c r="D333" s="4" t="s">
        <v>16</v>
      </c>
      <c r="E333" s="10">
        <v>-28500</v>
      </c>
      <c r="F333" s="9">
        <v>0</v>
      </c>
      <c r="G333" s="9">
        <v>0</v>
      </c>
      <c r="H333" s="9">
        <v>0</v>
      </c>
      <c r="I333" s="10">
        <v>-28500</v>
      </c>
    </row>
    <row r="334" spans="1:9" x14ac:dyDescent="0.25">
      <c r="A334" s="3"/>
      <c r="B334" s="4" t="s">
        <v>231</v>
      </c>
      <c r="C334" s="8">
        <v>45498</v>
      </c>
      <c r="D334" s="4" t="s">
        <v>13</v>
      </c>
      <c r="E334" s="9">
        <v>10283</v>
      </c>
      <c r="F334" s="9">
        <v>0</v>
      </c>
      <c r="G334" s="9">
        <v>0</v>
      </c>
      <c r="H334" s="9">
        <v>0</v>
      </c>
      <c r="I334" s="9">
        <v>10283</v>
      </c>
    </row>
    <row r="335" spans="1:9" x14ac:dyDescent="0.25">
      <c r="A335" s="3"/>
      <c r="B335" s="4" t="s">
        <v>230</v>
      </c>
      <c r="C335" s="8">
        <v>45552</v>
      </c>
      <c r="D335" s="4" t="s">
        <v>16</v>
      </c>
      <c r="E335" s="10">
        <v>-10283</v>
      </c>
      <c r="F335" s="9">
        <v>0</v>
      </c>
      <c r="G335" s="9">
        <v>0</v>
      </c>
      <c r="H335" s="9">
        <v>0</v>
      </c>
      <c r="I335" s="10">
        <v>-10283</v>
      </c>
    </row>
    <row r="336" spans="1:9" x14ac:dyDescent="0.25">
      <c r="A336" s="3"/>
      <c r="B336" s="4" t="s">
        <v>232</v>
      </c>
      <c r="C336" s="8">
        <v>45523</v>
      </c>
      <c r="D336" s="4" t="s">
        <v>13</v>
      </c>
      <c r="E336" s="9">
        <v>5830</v>
      </c>
      <c r="F336" s="9">
        <v>0</v>
      </c>
      <c r="G336" s="9">
        <v>0</v>
      </c>
      <c r="H336" s="9">
        <v>0</v>
      </c>
      <c r="I336" s="9">
        <v>5830</v>
      </c>
    </row>
    <row r="337" spans="1:9" x14ac:dyDescent="0.25">
      <c r="A337" s="3"/>
      <c r="B337" s="4" t="s">
        <v>120</v>
      </c>
      <c r="C337" s="8">
        <v>45523</v>
      </c>
      <c r="D337" s="4" t="s">
        <v>15</v>
      </c>
      <c r="E337" s="10">
        <v>-110</v>
      </c>
      <c r="F337" s="9">
        <v>0</v>
      </c>
      <c r="G337" s="9">
        <v>0</v>
      </c>
      <c r="H337" s="9">
        <v>0</v>
      </c>
      <c r="I337" s="10">
        <v>-110</v>
      </c>
    </row>
    <row r="338" spans="1:9" x14ac:dyDescent="0.25">
      <c r="A338" s="3"/>
      <c r="B338" s="4" t="s">
        <v>120</v>
      </c>
      <c r="C338" s="8">
        <v>45523</v>
      </c>
      <c r="D338" s="4" t="s">
        <v>16</v>
      </c>
      <c r="E338" s="10">
        <v>-5720</v>
      </c>
      <c r="F338" s="9">
        <v>0</v>
      </c>
      <c r="G338" s="9">
        <v>0</v>
      </c>
      <c r="H338" s="9">
        <v>0</v>
      </c>
      <c r="I338" s="10">
        <v>-5720</v>
      </c>
    </row>
    <row r="339" spans="1:9" x14ac:dyDescent="0.25">
      <c r="A339" s="3"/>
      <c r="B339" s="4" t="s">
        <v>233</v>
      </c>
      <c r="C339" s="8">
        <v>45657</v>
      </c>
      <c r="D339" s="4" t="s">
        <v>13</v>
      </c>
      <c r="E339" s="9">
        <v>11077</v>
      </c>
      <c r="F339" s="9">
        <v>0</v>
      </c>
      <c r="G339" s="9">
        <v>0</v>
      </c>
      <c r="H339" s="9">
        <v>11077</v>
      </c>
      <c r="I339" s="9">
        <v>0</v>
      </c>
    </row>
    <row r="340" spans="1:9" x14ac:dyDescent="0.25">
      <c r="A340" s="3"/>
      <c r="B340" s="4" t="s">
        <v>234</v>
      </c>
      <c r="C340" s="8">
        <v>45689</v>
      </c>
      <c r="D340" s="4" t="s">
        <v>16</v>
      </c>
      <c r="E340" s="10">
        <v>-11077</v>
      </c>
      <c r="F340" s="9">
        <v>0</v>
      </c>
      <c r="G340" s="9">
        <v>0</v>
      </c>
      <c r="H340" s="10">
        <v>-11077</v>
      </c>
      <c r="I340" s="9">
        <v>0</v>
      </c>
    </row>
    <row r="341" spans="1:9" x14ac:dyDescent="0.25">
      <c r="A341" s="3"/>
      <c r="B341" s="4" t="s">
        <v>235</v>
      </c>
      <c r="C341" s="8">
        <v>45676</v>
      </c>
      <c r="D341" s="4" t="s">
        <v>13</v>
      </c>
      <c r="E341" s="9">
        <v>16611</v>
      </c>
      <c r="F341" s="9">
        <v>0</v>
      </c>
      <c r="G341" s="9">
        <v>0</v>
      </c>
      <c r="H341" s="9">
        <v>16611</v>
      </c>
      <c r="I341" s="9">
        <v>0</v>
      </c>
    </row>
    <row r="342" spans="1:9" x14ac:dyDescent="0.25">
      <c r="A342" s="3"/>
      <c r="B342" s="4" t="s">
        <v>234</v>
      </c>
      <c r="C342" s="8">
        <v>45689</v>
      </c>
      <c r="D342" s="4" t="s">
        <v>15</v>
      </c>
      <c r="E342" s="10">
        <v>-50</v>
      </c>
      <c r="F342" s="9">
        <v>0</v>
      </c>
      <c r="G342" s="9">
        <v>0</v>
      </c>
      <c r="H342" s="10">
        <v>-50</v>
      </c>
      <c r="I342" s="9">
        <v>0</v>
      </c>
    </row>
    <row r="343" spans="1:9" x14ac:dyDescent="0.25">
      <c r="A343" s="3"/>
      <c r="B343" s="4" t="s">
        <v>234</v>
      </c>
      <c r="C343" s="8">
        <v>45689</v>
      </c>
      <c r="D343" s="4" t="s">
        <v>16</v>
      </c>
      <c r="E343" s="10">
        <v>-2000</v>
      </c>
      <c r="F343" s="9">
        <v>0</v>
      </c>
      <c r="G343" s="9">
        <v>0</v>
      </c>
      <c r="H343" s="10">
        <v>-2000</v>
      </c>
      <c r="I343" s="9">
        <v>0</v>
      </c>
    </row>
    <row r="344" spans="1:9" x14ac:dyDescent="0.25">
      <c r="A344" s="3"/>
      <c r="B344" s="4" t="s">
        <v>159</v>
      </c>
      <c r="C344" s="8">
        <v>45688</v>
      </c>
      <c r="D344" s="4" t="s">
        <v>13</v>
      </c>
      <c r="E344" s="9">
        <v>137.41</v>
      </c>
      <c r="F344" s="9">
        <v>0</v>
      </c>
      <c r="G344" s="9">
        <v>137.41</v>
      </c>
      <c r="H344" s="9">
        <v>0</v>
      </c>
      <c r="I344" s="9">
        <v>0</v>
      </c>
    </row>
    <row r="345" spans="1:9" x14ac:dyDescent="0.25">
      <c r="A345" s="3"/>
      <c r="B345" s="4" t="s">
        <v>236</v>
      </c>
      <c r="C345" s="8">
        <v>45747</v>
      </c>
      <c r="D345" s="4" t="s">
        <v>13</v>
      </c>
      <c r="E345" s="9">
        <v>400.02</v>
      </c>
      <c r="F345" s="9">
        <v>400.02</v>
      </c>
      <c r="G345" s="9">
        <v>0</v>
      </c>
      <c r="H345" s="9">
        <v>0</v>
      </c>
      <c r="I345" s="9">
        <v>0</v>
      </c>
    </row>
    <row r="346" spans="1:9" x14ac:dyDescent="0.25">
      <c r="A346" s="3"/>
      <c r="B346" s="4" t="s">
        <v>237</v>
      </c>
      <c r="C346" s="8">
        <v>45747</v>
      </c>
      <c r="D346" s="4" t="s">
        <v>182</v>
      </c>
      <c r="E346" s="12">
        <v>-22.38</v>
      </c>
      <c r="F346" s="12">
        <v>-22.38</v>
      </c>
      <c r="G346" s="11">
        <v>0</v>
      </c>
      <c r="H346" s="11">
        <v>0</v>
      </c>
      <c r="I346" s="11">
        <v>0</v>
      </c>
    </row>
    <row r="348" spans="1:9" x14ac:dyDescent="0.25">
      <c r="A348" s="7" t="s">
        <v>23</v>
      </c>
      <c r="B348" s="3"/>
      <c r="C348" s="3"/>
      <c r="D348" s="3"/>
      <c r="E348" s="9">
        <f>SUBTOTAL(9,E324:E346)</f>
        <v>15076.050000000001</v>
      </c>
      <c r="F348" s="9">
        <f>SUBTOTAL(9,F324:F346)</f>
        <v>377.64</v>
      </c>
      <c r="G348" s="9">
        <f>SUBTOTAL(9,G324:G346)</f>
        <v>137.41</v>
      </c>
      <c r="H348" s="9">
        <f>SUBTOTAL(9,H324:H346)</f>
        <v>14561</v>
      </c>
      <c r="I348" s="9">
        <f>SUBTOTAL(9,I324:I346)</f>
        <v>0</v>
      </c>
    </row>
    <row r="350" spans="1:9" x14ac:dyDescent="0.25">
      <c r="A350" s="7" t="s">
        <v>238</v>
      </c>
    </row>
    <row r="351" spans="1:9" x14ac:dyDescent="0.25">
      <c r="A351" s="3"/>
      <c r="B351" s="4" t="s">
        <v>118</v>
      </c>
      <c r="C351" s="8">
        <v>45327</v>
      </c>
      <c r="D351" s="4" t="s">
        <v>13</v>
      </c>
      <c r="E351" s="9">
        <v>15732</v>
      </c>
      <c r="F351" s="9">
        <v>0</v>
      </c>
      <c r="G351" s="9">
        <v>0</v>
      </c>
      <c r="H351" s="9">
        <v>0</v>
      </c>
      <c r="I351" s="9">
        <v>15732</v>
      </c>
    </row>
    <row r="352" spans="1:9" x14ac:dyDescent="0.25">
      <c r="A352" s="3"/>
      <c r="B352" s="4" t="s">
        <v>239</v>
      </c>
      <c r="C352" s="8">
        <v>45396</v>
      </c>
      <c r="D352" s="4" t="s">
        <v>16</v>
      </c>
      <c r="E352" s="10">
        <v>-15732</v>
      </c>
      <c r="F352" s="9">
        <v>0</v>
      </c>
      <c r="G352" s="9">
        <v>0</v>
      </c>
      <c r="H352" s="9">
        <v>0</v>
      </c>
      <c r="I352" s="10">
        <v>-15732</v>
      </c>
    </row>
    <row r="353" spans="1:9" x14ac:dyDescent="0.25">
      <c r="A353" s="3"/>
      <c r="B353" s="4" t="s">
        <v>240</v>
      </c>
      <c r="C353" s="8">
        <v>45467</v>
      </c>
      <c r="D353" s="4" t="s">
        <v>13</v>
      </c>
      <c r="E353" s="9">
        <v>11930.5</v>
      </c>
      <c r="F353" s="9">
        <v>0</v>
      </c>
      <c r="G353" s="9">
        <v>0</v>
      </c>
      <c r="H353" s="9">
        <v>0</v>
      </c>
      <c r="I353" s="9">
        <v>11930.5</v>
      </c>
    </row>
    <row r="354" spans="1:9" x14ac:dyDescent="0.25">
      <c r="A354" s="3"/>
      <c r="B354" s="4" t="s">
        <v>241</v>
      </c>
      <c r="C354" s="8">
        <v>45611</v>
      </c>
      <c r="D354" s="4" t="s">
        <v>16</v>
      </c>
      <c r="E354" s="10">
        <v>-11930.5</v>
      </c>
      <c r="F354" s="9">
        <v>0</v>
      </c>
      <c r="G354" s="9">
        <v>0</v>
      </c>
      <c r="H354" s="9">
        <v>0</v>
      </c>
      <c r="I354" s="10">
        <v>-11930.5</v>
      </c>
    </row>
    <row r="355" spans="1:9" x14ac:dyDescent="0.25">
      <c r="A355" s="3"/>
      <c r="B355" s="4" t="s">
        <v>242</v>
      </c>
      <c r="C355" s="8">
        <v>45571</v>
      </c>
      <c r="D355" s="4" t="s">
        <v>13</v>
      </c>
      <c r="E355" s="9">
        <v>475.73</v>
      </c>
      <c r="F355" s="9">
        <v>0</v>
      </c>
      <c r="G355" s="9">
        <v>0</v>
      </c>
      <c r="H355" s="9">
        <v>0</v>
      </c>
      <c r="I355" s="9">
        <v>475.73</v>
      </c>
    </row>
    <row r="356" spans="1:9" x14ac:dyDescent="0.25">
      <c r="A356" s="3"/>
      <c r="B356" s="4" t="s">
        <v>241</v>
      </c>
      <c r="C356" s="8">
        <v>45611</v>
      </c>
      <c r="D356" s="4" t="s">
        <v>16</v>
      </c>
      <c r="E356" s="12">
        <v>-475.73</v>
      </c>
      <c r="F356" s="11">
        <v>0</v>
      </c>
      <c r="G356" s="11">
        <v>0</v>
      </c>
      <c r="H356" s="11">
        <v>0</v>
      </c>
      <c r="I356" s="12">
        <v>-475.73</v>
      </c>
    </row>
    <row r="358" spans="1:9" x14ac:dyDescent="0.25">
      <c r="A358" s="7" t="s">
        <v>23</v>
      </c>
      <c r="B358" s="3"/>
      <c r="C358" s="3"/>
      <c r="D358" s="3"/>
      <c r="E358" s="9">
        <f>SUBTOTAL(9,E351:E356)</f>
        <v>0</v>
      </c>
      <c r="F358" s="9">
        <f>SUBTOTAL(9,F351:F356)</f>
        <v>0</v>
      </c>
      <c r="G358" s="9">
        <f>SUBTOTAL(9,G351:G356)</f>
        <v>0</v>
      </c>
      <c r="H358" s="9">
        <f>SUBTOTAL(9,H351:H356)</f>
        <v>0</v>
      </c>
      <c r="I358" s="9">
        <f>SUBTOTAL(9,I351:I356)</f>
        <v>0</v>
      </c>
    </row>
    <row r="360" spans="1:9" x14ac:dyDescent="0.25">
      <c r="A360" s="7" t="s">
        <v>243</v>
      </c>
    </row>
    <row r="361" spans="1:9" x14ac:dyDescent="0.25">
      <c r="A361" s="3"/>
      <c r="B361" s="4" t="s">
        <v>108</v>
      </c>
      <c r="C361" s="8">
        <v>45300</v>
      </c>
      <c r="D361" s="4" t="s">
        <v>13</v>
      </c>
      <c r="E361" s="9">
        <v>2879.29</v>
      </c>
      <c r="F361" s="9">
        <v>0</v>
      </c>
      <c r="G361" s="9">
        <v>0</v>
      </c>
      <c r="H361" s="9">
        <v>0</v>
      </c>
      <c r="I361" s="9">
        <v>2879.29</v>
      </c>
    </row>
    <row r="362" spans="1:9" x14ac:dyDescent="0.25">
      <c r="A362" s="3"/>
      <c r="B362" s="4" t="s">
        <v>244</v>
      </c>
      <c r="C362" s="8">
        <v>45340</v>
      </c>
      <c r="D362" s="4" t="s">
        <v>16</v>
      </c>
      <c r="E362" s="10">
        <v>-2879.29</v>
      </c>
      <c r="F362" s="9">
        <v>0</v>
      </c>
      <c r="G362" s="9">
        <v>0</v>
      </c>
      <c r="H362" s="9">
        <v>0</v>
      </c>
      <c r="I362" s="10">
        <v>-2879.29</v>
      </c>
    </row>
    <row r="363" spans="1:9" x14ac:dyDescent="0.25">
      <c r="A363" s="3"/>
      <c r="B363" s="4" t="s">
        <v>245</v>
      </c>
      <c r="C363" s="8">
        <v>45574</v>
      </c>
      <c r="D363" s="4" t="s">
        <v>13</v>
      </c>
      <c r="E363" s="9">
        <v>4015.05</v>
      </c>
      <c r="F363" s="9">
        <v>0</v>
      </c>
      <c r="G363" s="9">
        <v>0</v>
      </c>
      <c r="H363" s="9">
        <v>0</v>
      </c>
      <c r="I363" s="9">
        <v>4015.05</v>
      </c>
    </row>
    <row r="364" spans="1:9" x14ac:dyDescent="0.25">
      <c r="A364" s="3"/>
      <c r="B364" s="4" t="s">
        <v>246</v>
      </c>
      <c r="C364" s="8">
        <v>45641</v>
      </c>
      <c r="D364" s="4" t="s">
        <v>16</v>
      </c>
      <c r="E364" s="10">
        <v>-4015.05</v>
      </c>
      <c r="F364" s="9">
        <v>0</v>
      </c>
      <c r="G364" s="9">
        <v>0</v>
      </c>
      <c r="H364" s="9">
        <v>0</v>
      </c>
      <c r="I364" s="10">
        <v>-4015.05</v>
      </c>
    </row>
    <row r="365" spans="1:9" x14ac:dyDescent="0.25">
      <c r="A365" s="3"/>
      <c r="B365" s="4" t="s">
        <v>173</v>
      </c>
      <c r="C365" s="8">
        <v>45727</v>
      </c>
      <c r="D365" s="4" t="s">
        <v>13</v>
      </c>
      <c r="E365" s="9">
        <v>7479.14</v>
      </c>
      <c r="F365" s="9">
        <v>7479.14</v>
      </c>
      <c r="G365" s="9">
        <v>0</v>
      </c>
      <c r="H365" s="9">
        <v>0</v>
      </c>
      <c r="I365" s="9">
        <v>0</v>
      </c>
    </row>
    <row r="366" spans="1:9" x14ac:dyDescent="0.25">
      <c r="A366" s="3"/>
      <c r="B366" s="4" t="s">
        <v>247</v>
      </c>
      <c r="C366" s="8">
        <v>45747</v>
      </c>
      <c r="D366" s="4" t="s">
        <v>16</v>
      </c>
      <c r="E366" s="10">
        <v>-3550</v>
      </c>
      <c r="F366" s="10">
        <v>-3550</v>
      </c>
      <c r="G366" s="9">
        <v>0</v>
      </c>
      <c r="H366" s="9">
        <v>0</v>
      </c>
      <c r="I366" s="9">
        <v>0</v>
      </c>
    </row>
    <row r="367" spans="1:9" x14ac:dyDescent="0.25">
      <c r="A367" s="3"/>
      <c r="B367" s="4" t="s">
        <v>248</v>
      </c>
      <c r="C367" s="8">
        <v>45747</v>
      </c>
      <c r="D367" s="4" t="s">
        <v>51</v>
      </c>
      <c r="E367" s="11">
        <v>347.36</v>
      </c>
      <c r="F367" s="11">
        <v>347.36</v>
      </c>
      <c r="G367" s="11">
        <v>0</v>
      </c>
      <c r="H367" s="11">
        <v>0</v>
      </c>
      <c r="I367" s="11">
        <v>0</v>
      </c>
    </row>
    <row r="369" spans="1:9" x14ac:dyDescent="0.25">
      <c r="A369" s="7" t="s">
        <v>23</v>
      </c>
      <c r="B369" s="3"/>
      <c r="C369" s="3"/>
      <c r="D369" s="3"/>
      <c r="E369" s="9">
        <f>SUBTOTAL(9,E361:E367)</f>
        <v>4276.5</v>
      </c>
      <c r="F369" s="9">
        <f>SUBTOTAL(9,F361:F367)</f>
        <v>4276.5</v>
      </c>
      <c r="G369" s="9">
        <f>SUBTOTAL(9,G361:G367)</f>
        <v>0</v>
      </c>
      <c r="H369" s="9">
        <f>SUBTOTAL(9,H361:H367)</f>
        <v>0</v>
      </c>
      <c r="I369" s="9">
        <f>SUBTOTAL(9,I361:I367)</f>
        <v>0</v>
      </c>
    </row>
    <row r="371" spans="1:9" x14ac:dyDescent="0.25">
      <c r="A371" s="7" t="s">
        <v>249</v>
      </c>
    </row>
    <row r="372" spans="1:9" x14ac:dyDescent="0.25">
      <c r="A372" s="3"/>
      <c r="B372" s="4" t="s">
        <v>250</v>
      </c>
      <c r="C372" s="8">
        <v>45392</v>
      </c>
      <c r="D372" s="4" t="s">
        <v>13</v>
      </c>
      <c r="E372" s="9">
        <v>7809</v>
      </c>
      <c r="F372" s="9">
        <v>0</v>
      </c>
      <c r="G372" s="9">
        <v>0</v>
      </c>
      <c r="H372" s="9">
        <v>0</v>
      </c>
      <c r="I372" s="9">
        <v>7809</v>
      </c>
    </row>
    <row r="373" spans="1:9" x14ac:dyDescent="0.25">
      <c r="A373" s="3"/>
      <c r="B373" s="4" t="s">
        <v>251</v>
      </c>
      <c r="C373" s="8">
        <v>45427</v>
      </c>
      <c r="D373" s="4" t="s">
        <v>16</v>
      </c>
      <c r="E373" s="10">
        <v>-7809</v>
      </c>
      <c r="F373" s="9">
        <v>0</v>
      </c>
      <c r="G373" s="9">
        <v>0</v>
      </c>
      <c r="H373" s="9">
        <v>0</v>
      </c>
      <c r="I373" s="10">
        <v>-7809</v>
      </c>
    </row>
    <row r="374" spans="1:9" x14ac:dyDescent="0.25">
      <c r="A374" s="3"/>
      <c r="B374" s="4" t="s">
        <v>252</v>
      </c>
      <c r="C374" s="8">
        <v>45613</v>
      </c>
      <c r="D374" s="4" t="s">
        <v>13</v>
      </c>
      <c r="E374" s="9">
        <v>5300</v>
      </c>
      <c r="F374" s="9">
        <v>0</v>
      </c>
      <c r="G374" s="9">
        <v>0</v>
      </c>
      <c r="H374" s="9">
        <v>0</v>
      </c>
      <c r="I374" s="9">
        <v>5300</v>
      </c>
    </row>
    <row r="375" spans="1:9" x14ac:dyDescent="0.25">
      <c r="A375" s="3"/>
      <c r="B375" s="4" t="s">
        <v>253</v>
      </c>
      <c r="C375" s="8">
        <v>45674</v>
      </c>
      <c r="D375" s="4" t="s">
        <v>16</v>
      </c>
      <c r="E375" s="10">
        <v>-5300</v>
      </c>
      <c r="F375" s="9">
        <v>0</v>
      </c>
      <c r="G375" s="9">
        <v>0</v>
      </c>
      <c r="H375" s="9">
        <v>0</v>
      </c>
      <c r="I375" s="10">
        <v>-5300</v>
      </c>
    </row>
    <row r="376" spans="1:9" x14ac:dyDescent="0.25">
      <c r="A376" s="3"/>
      <c r="B376" s="4" t="s">
        <v>254</v>
      </c>
      <c r="C376" s="8">
        <v>45675</v>
      </c>
      <c r="D376" s="4" t="s">
        <v>13</v>
      </c>
      <c r="E376" s="9">
        <v>10299.959999999999</v>
      </c>
      <c r="F376" s="9">
        <v>0</v>
      </c>
      <c r="G376" s="9">
        <v>0</v>
      </c>
      <c r="H376" s="9">
        <v>10299.959999999999</v>
      </c>
      <c r="I376" s="9">
        <v>0</v>
      </c>
    </row>
    <row r="377" spans="1:9" x14ac:dyDescent="0.25">
      <c r="A377" s="3"/>
      <c r="B377" s="4" t="s">
        <v>255</v>
      </c>
      <c r="C377" s="8">
        <v>45703</v>
      </c>
      <c r="D377" s="4" t="s">
        <v>16</v>
      </c>
      <c r="E377" s="12">
        <v>-5000</v>
      </c>
      <c r="F377" s="11">
        <v>0</v>
      </c>
      <c r="G377" s="11">
        <v>0</v>
      </c>
      <c r="H377" s="12">
        <v>-5000</v>
      </c>
      <c r="I377" s="11">
        <v>0</v>
      </c>
    </row>
    <row r="379" spans="1:9" x14ac:dyDescent="0.25">
      <c r="A379" s="7" t="s">
        <v>23</v>
      </c>
      <c r="B379" s="3"/>
      <c r="C379" s="3"/>
      <c r="D379" s="3"/>
      <c r="E379" s="9">
        <f>SUBTOTAL(9,E372:E377)</f>
        <v>5299.9599999999991</v>
      </c>
      <c r="F379" s="9">
        <f>SUBTOTAL(9,F372:F377)</f>
        <v>0</v>
      </c>
      <c r="G379" s="9">
        <f>SUBTOTAL(9,G372:G377)</f>
        <v>0</v>
      </c>
      <c r="H379" s="9">
        <f>SUBTOTAL(9,H372:H377)</f>
        <v>5299.9599999999991</v>
      </c>
      <c r="I379" s="9">
        <f>SUBTOTAL(9,I372:I377)</f>
        <v>0</v>
      </c>
    </row>
    <row r="381" spans="1:9" x14ac:dyDescent="0.25">
      <c r="A381" s="7" t="s">
        <v>256</v>
      </c>
    </row>
    <row r="382" spans="1:9" x14ac:dyDescent="0.25">
      <c r="A382" s="3"/>
      <c r="B382" s="4" t="s">
        <v>170</v>
      </c>
      <c r="C382" s="8">
        <v>45312</v>
      </c>
      <c r="D382" s="4" t="s">
        <v>13</v>
      </c>
      <c r="E382" s="9">
        <v>38520</v>
      </c>
      <c r="F382" s="9">
        <v>0</v>
      </c>
      <c r="G382" s="9">
        <v>0</v>
      </c>
      <c r="H382" s="9">
        <v>0</v>
      </c>
      <c r="I382" s="9">
        <v>38520</v>
      </c>
    </row>
    <row r="383" spans="1:9" x14ac:dyDescent="0.25">
      <c r="A383" s="3"/>
      <c r="B383" s="4" t="s">
        <v>257</v>
      </c>
      <c r="C383" s="8">
        <v>45382</v>
      </c>
      <c r="D383" s="4" t="s">
        <v>16</v>
      </c>
      <c r="E383" s="10">
        <v>-27820</v>
      </c>
      <c r="F383" s="9">
        <v>0</v>
      </c>
      <c r="G383" s="9">
        <v>0</v>
      </c>
      <c r="H383" s="9">
        <v>0</v>
      </c>
      <c r="I383" s="10">
        <v>-27820</v>
      </c>
    </row>
    <row r="384" spans="1:9" x14ac:dyDescent="0.25">
      <c r="A384" s="3"/>
      <c r="B384" s="4" t="s">
        <v>258</v>
      </c>
      <c r="C384" s="8">
        <v>45529</v>
      </c>
      <c r="D384" s="4" t="s">
        <v>16</v>
      </c>
      <c r="E384" s="12">
        <v>-10700</v>
      </c>
      <c r="F384" s="11">
        <v>0</v>
      </c>
      <c r="G384" s="11">
        <v>0</v>
      </c>
      <c r="H384" s="11">
        <v>0</v>
      </c>
      <c r="I384" s="12">
        <v>-10700</v>
      </c>
    </row>
    <row r="386" spans="1:9" x14ac:dyDescent="0.25">
      <c r="A386" s="7" t="s">
        <v>23</v>
      </c>
      <c r="B386" s="3"/>
      <c r="C386" s="3"/>
      <c r="D386" s="3"/>
      <c r="E386" s="9">
        <f>SUBTOTAL(9,E382:E384)</f>
        <v>0</v>
      </c>
      <c r="F386" s="9">
        <f>SUBTOTAL(9,F382:F384)</f>
        <v>0</v>
      </c>
      <c r="G386" s="9">
        <f>SUBTOTAL(9,G382:G384)</f>
        <v>0</v>
      </c>
      <c r="H386" s="9">
        <f>SUBTOTAL(9,H382:H384)</f>
        <v>0</v>
      </c>
      <c r="I386" s="9">
        <f>SUBTOTAL(9,I382:I384)</f>
        <v>0</v>
      </c>
    </row>
    <row r="388" spans="1:9" x14ac:dyDescent="0.25">
      <c r="A388" s="7" t="s">
        <v>259</v>
      </c>
    </row>
    <row r="389" spans="1:9" x14ac:dyDescent="0.25">
      <c r="A389" s="3"/>
      <c r="B389" s="4" t="s">
        <v>260</v>
      </c>
      <c r="C389" s="8">
        <v>45259</v>
      </c>
      <c r="D389" s="4" t="s">
        <v>13</v>
      </c>
      <c r="E389" s="9">
        <v>19260</v>
      </c>
      <c r="F389" s="9">
        <v>0</v>
      </c>
      <c r="G389" s="9">
        <v>0</v>
      </c>
      <c r="H389" s="9">
        <v>0</v>
      </c>
      <c r="I389" s="9">
        <v>19260</v>
      </c>
    </row>
    <row r="390" spans="1:9" x14ac:dyDescent="0.25">
      <c r="A390" s="3"/>
      <c r="B390" s="4" t="s">
        <v>261</v>
      </c>
      <c r="C390" s="8">
        <v>45305</v>
      </c>
      <c r="D390" s="4" t="s">
        <v>16</v>
      </c>
      <c r="E390" s="10">
        <v>-10000</v>
      </c>
      <c r="F390" s="9">
        <v>0</v>
      </c>
      <c r="G390" s="9">
        <v>0</v>
      </c>
      <c r="H390" s="9">
        <v>0</v>
      </c>
      <c r="I390" s="10">
        <v>-10000</v>
      </c>
    </row>
    <row r="391" spans="1:9" x14ac:dyDescent="0.25">
      <c r="A391" s="3"/>
      <c r="B391" s="4" t="s">
        <v>262</v>
      </c>
      <c r="C391" s="8">
        <v>45322</v>
      </c>
      <c r="D391" s="4" t="s">
        <v>16</v>
      </c>
      <c r="E391" s="10">
        <v>-9260</v>
      </c>
      <c r="F391" s="9">
        <v>0</v>
      </c>
      <c r="G391" s="9">
        <v>0</v>
      </c>
      <c r="H391" s="9">
        <v>0</v>
      </c>
      <c r="I391" s="10">
        <v>-9260</v>
      </c>
    </row>
    <row r="392" spans="1:9" x14ac:dyDescent="0.25">
      <c r="A392" s="3"/>
      <c r="B392" s="4" t="s">
        <v>263</v>
      </c>
      <c r="C392" s="8">
        <v>45343</v>
      </c>
      <c r="D392" s="4" t="s">
        <v>13</v>
      </c>
      <c r="E392" s="9">
        <v>10700</v>
      </c>
      <c r="F392" s="9">
        <v>0</v>
      </c>
      <c r="G392" s="9">
        <v>0</v>
      </c>
      <c r="H392" s="9">
        <v>0</v>
      </c>
      <c r="I392" s="9">
        <v>10700</v>
      </c>
    </row>
    <row r="393" spans="1:9" x14ac:dyDescent="0.25">
      <c r="A393" s="3"/>
      <c r="B393" s="4" t="s">
        <v>14</v>
      </c>
      <c r="C393" s="8">
        <v>45343</v>
      </c>
      <c r="D393" s="4" t="s">
        <v>15</v>
      </c>
      <c r="E393" s="10">
        <v>-200</v>
      </c>
      <c r="F393" s="9">
        <v>0</v>
      </c>
      <c r="G393" s="9">
        <v>0</v>
      </c>
      <c r="H393" s="9">
        <v>0</v>
      </c>
      <c r="I393" s="10">
        <v>-200</v>
      </c>
    </row>
    <row r="394" spans="1:9" x14ac:dyDescent="0.25">
      <c r="A394" s="3"/>
      <c r="B394" s="4" t="s">
        <v>14</v>
      </c>
      <c r="C394" s="8">
        <v>45343</v>
      </c>
      <c r="D394" s="4" t="s">
        <v>16</v>
      </c>
      <c r="E394" s="10">
        <v>-10500</v>
      </c>
      <c r="F394" s="9">
        <v>0</v>
      </c>
      <c r="G394" s="9">
        <v>0</v>
      </c>
      <c r="H394" s="9">
        <v>0</v>
      </c>
      <c r="I394" s="10">
        <v>-10500</v>
      </c>
    </row>
    <row r="395" spans="1:9" x14ac:dyDescent="0.25">
      <c r="A395" s="3"/>
      <c r="B395" s="4" t="s">
        <v>264</v>
      </c>
      <c r="C395" s="8">
        <v>45643</v>
      </c>
      <c r="D395" s="4" t="s">
        <v>13</v>
      </c>
      <c r="E395" s="9">
        <v>29145.9</v>
      </c>
      <c r="F395" s="9">
        <v>0</v>
      </c>
      <c r="G395" s="9">
        <v>0</v>
      </c>
      <c r="H395" s="9">
        <v>0</v>
      </c>
      <c r="I395" s="9">
        <v>29145.9</v>
      </c>
    </row>
    <row r="396" spans="1:9" x14ac:dyDescent="0.25">
      <c r="A396" s="3"/>
      <c r="B396" s="4" t="s">
        <v>265</v>
      </c>
      <c r="C396" s="8">
        <v>45672</v>
      </c>
      <c r="D396" s="4" t="s">
        <v>15</v>
      </c>
      <c r="E396" s="10">
        <v>-520.79999999999995</v>
      </c>
      <c r="F396" s="9">
        <v>0</v>
      </c>
      <c r="G396" s="9">
        <v>0</v>
      </c>
      <c r="H396" s="9">
        <v>0</v>
      </c>
      <c r="I396" s="10">
        <v>-520.79999999999995</v>
      </c>
    </row>
    <row r="397" spans="1:9" x14ac:dyDescent="0.25">
      <c r="A397" s="3"/>
      <c r="B397" s="4" t="s">
        <v>265</v>
      </c>
      <c r="C397" s="8">
        <v>45672</v>
      </c>
      <c r="D397" s="4" t="s">
        <v>16</v>
      </c>
      <c r="E397" s="12">
        <v>-28625.1</v>
      </c>
      <c r="F397" s="11">
        <v>0</v>
      </c>
      <c r="G397" s="11">
        <v>0</v>
      </c>
      <c r="H397" s="11">
        <v>0</v>
      </c>
      <c r="I397" s="12">
        <v>-28625.1</v>
      </c>
    </row>
    <row r="399" spans="1:9" x14ac:dyDescent="0.25">
      <c r="A399" s="7" t="s">
        <v>23</v>
      </c>
      <c r="B399" s="3"/>
      <c r="C399" s="3"/>
      <c r="D399" s="3"/>
      <c r="E399" s="9">
        <f>SUBTOTAL(9,E389:E397)</f>
        <v>0</v>
      </c>
      <c r="F399" s="9">
        <f>SUBTOTAL(9,F389:F397)</f>
        <v>0</v>
      </c>
      <c r="G399" s="9">
        <f>SUBTOTAL(9,G389:G397)</f>
        <v>0</v>
      </c>
      <c r="H399" s="9">
        <f>SUBTOTAL(9,H389:H397)</f>
        <v>0</v>
      </c>
      <c r="I399" s="9">
        <f>SUBTOTAL(9,I389:I397)</f>
        <v>0</v>
      </c>
    </row>
    <row r="401" spans="1:9" x14ac:dyDescent="0.25">
      <c r="A401" s="7" t="s">
        <v>266</v>
      </c>
    </row>
    <row r="402" spans="1:9" x14ac:dyDescent="0.25">
      <c r="A402" s="3"/>
      <c r="B402" s="4" t="s">
        <v>267</v>
      </c>
      <c r="C402" s="8">
        <v>45581</v>
      </c>
      <c r="D402" s="4" t="s">
        <v>13</v>
      </c>
      <c r="E402" s="9">
        <v>10600</v>
      </c>
      <c r="F402" s="9">
        <v>0</v>
      </c>
      <c r="G402" s="9">
        <v>0</v>
      </c>
      <c r="H402" s="9">
        <v>0</v>
      </c>
      <c r="I402" s="9">
        <v>10600</v>
      </c>
    </row>
    <row r="403" spans="1:9" x14ac:dyDescent="0.25">
      <c r="A403" s="3"/>
      <c r="B403" s="4" t="s">
        <v>268</v>
      </c>
      <c r="C403" s="8">
        <v>45617</v>
      </c>
      <c r="D403" s="4" t="s">
        <v>16</v>
      </c>
      <c r="E403" s="10">
        <v>-10600</v>
      </c>
      <c r="F403" s="9">
        <v>0</v>
      </c>
      <c r="G403" s="9">
        <v>0</v>
      </c>
      <c r="H403" s="9">
        <v>0</v>
      </c>
      <c r="I403" s="10">
        <v>-10600</v>
      </c>
    </row>
    <row r="404" spans="1:9" x14ac:dyDescent="0.25">
      <c r="A404" s="3"/>
      <c r="B404" s="4" t="s">
        <v>269</v>
      </c>
      <c r="C404" s="8">
        <v>45590</v>
      </c>
      <c r="D404" s="4" t="s">
        <v>13</v>
      </c>
      <c r="E404" s="9">
        <v>53000</v>
      </c>
      <c r="F404" s="9">
        <v>0</v>
      </c>
      <c r="G404" s="9">
        <v>0</v>
      </c>
      <c r="H404" s="9">
        <v>0</v>
      </c>
      <c r="I404" s="9">
        <v>53000</v>
      </c>
    </row>
    <row r="405" spans="1:9" x14ac:dyDescent="0.25">
      <c r="A405" s="3"/>
      <c r="B405" s="4" t="s">
        <v>268</v>
      </c>
      <c r="C405" s="8">
        <v>45617</v>
      </c>
      <c r="D405" s="4" t="s">
        <v>16</v>
      </c>
      <c r="E405" s="12">
        <v>-42800</v>
      </c>
      <c r="F405" s="11">
        <v>0</v>
      </c>
      <c r="G405" s="11">
        <v>0</v>
      </c>
      <c r="H405" s="11">
        <v>0</v>
      </c>
      <c r="I405" s="12">
        <v>-42800</v>
      </c>
    </row>
    <row r="407" spans="1:9" x14ac:dyDescent="0.25">
      <c r="A407" s="7" t="s">
        <v>23</v>
      </c>
      <c r="B407" s="3"/>
      <c r="C407" s="3"/>
      <c r="D407" s="3"/>
      <c r="E407" s="9">
        <f>SUBTOTAL(9,E402:E405)</f>
        <v>10200</v>
      </c>
      <c r="F407" s="9">
        <f>SUBTOTAL(9,F402:F405)</f>
        <v>0</v>
      </c>
      <c r="G407" s="9">
        <f>SUBTOTAL(9,G402:G405)</f>
        <v>0</v>
      </c>
      <c r="H407" s="9">
        <f>SUBTOTAL(9,H402:H405)</f>
        <v>0</v>
      </c>
      <c r="I407" s="9">
        <f>SUBTOTAL(9,I402:I405)</f>
        <v>10200</v>
      </c>
    </row>
    <row r="409" spans="1:9" x14ac:dyDescent="0.25">
      <c r="A409" s="7" t="s">
        <v>270</v>
      </c>
    </row>
    <row r="410" spans="1:9" x14ac:dyDescent="0.25">
      <c r="A410" s="3"/>
      <c r="B410" s="4" t="s">
        <v>271</v>
      </c>
      <c r="C410" s="8">
        <v>45210</v>
      </c>
      <c r="D410" s="4" t="s">
        <v>13</v>
      </c>
      <c r="E410" s="9">
        <v>1187.5</v>
      </c>
      <c r="F410" s="9">
        <v>0</v>
      </c>
      <c r="G410" s="9">
        <v>0</v>
      </c>
      <c r="H410" s="9">
        <v>0</v>
      </c>
      <c r="I410" s="9">
        <v>1187.5</v>
      </c>
    </row>
    <row r="411" spans="1:9" x14ac:dyDescent="0.25">
      <c r="A411" s="3"/>
      <c r="B411" s="4" t="s">
        <v>272</v>
      </c>
      <c r="C411" s="8">
        <v>45257</v>
      </c>
      <c r="D411" s="4" t="s">
        <v>16</v>
      </c>
      <c r="E411" s="10">
        <v>-1187.5</v>
      </c>
      <c r="F411" s="9">
        <v>0</v>
      </c>
      <c r="G411" s="9">
        <v>0</v>
      </c>
      <c r="H411" s="9">
        <v>0</v>
      </c>
      <c r="I411" s="10">
        <v>-1187.5</v>
      </c>
    </row>
    <row r="412" spans="1:9" x14ac:dyDescent="0.25">
      <c r="A412" s="3"/>
      <c r="B412" s="4" t="s">
        <v>273</v>
      </c>
      <c r="C412" s="8">
        <v>45396</v>
      </c>
      <c r="D412" s="4" t="s">
        <v>13</v>
      </c>
      <c r="E412" s="9">
        <v>23750</v>
      </c>
      <c r="F412" s="9">
        <v>0</v>
      </c>
      <c r="G412" s="9">
        <v>0</v>
      </c>
      <c r="H412" s="9">
        <v>0</v>
      </c>
      <c r="I412" s="9">
        <v>23750</v>
      </c>
    </row>
    <row r="413" spans="1:9" x14ac:dyDescent="0.25">
      <c r="A413" s="3"/>
      <c r="B413" s="4" t="s">
        <v>274</v>
      </c>
      <c r="C413" s="8">
        <v>45440</v>
      </c>
      <c r="D413" s="4" t="s">
        <v>16</v>
      </c>
      <c r="E413" s="10">
        <v>-23750</v>
      </c>
      <c r="F413" s="9">
        <v>0</v>
      </c>
      <c r="G413" s="9">
        <v>0</v>
      </c>
      <c r="H413" s="9">
        <v>0</v>
      </c>
      <c r="I413" s="10">
        <v>-23750</v>
      </c>
    </row>
    <row r="414" spans="1:9" x14ac:dyDescent="0.25">
      <c r="A414" s="3"/>
      <c r="B414" s="4" t="s">
        <v>275</v>
      </c>
      <c r="C414" s="8">
        <v>45656</v>
      </c>
      <c r="D414" s="4" t="s">
        <v>13</v>
      </c>
      <c r="E414" s="9">
        <v>1060</v>
      </c>
      <c r="F414" s="9">
        <v>0</v>
      </c>
      <c r="G414" s="9">
        <v>0</v>
      </c>
      <c r="H414" s="9">
        <v>0</v>
      </c>
      <c r="I414" s="9">
        <v>1060</v>
      </c>
    </row>
    <row r="415" spans="1:9" x14ac:dyDescent="0.25">
      <c r="A415" s="3"/>
      <c r="B415" s="4" t="s">
        <v>14</v>
      </c>
      <c r="C415" s="8">
        <v>45656</v>
      </c>
      <c r="D415" s="4" t="s">
        <v>15</v>
      </c>
      <c r="E415" s="10">
        <v>-20</v>
      </c>
      <c r="F415" s="9">
        <v>0</v>
      </c>
      <c r="G415" s="9">
        <v>0</v>
      </c>
      <c r="H415" s="9">
        <v>0</v>
      </c>
      <c r="I415" s="10">
        <v>-20</v>
      </c>
    </row>
    <row r="416" spans="1:9" x14ac:dyDescent="0.25">
      <c r="A416" s="3"/>
      <c r="B416" s="4" t="s">
        <v>14</v>
      </c>
      <c r="C416" s="8">
        <v>45656</v>
      </c>
      <c r="D416" s="4" t="s">
        <v>16</v>
      </c>
      <c r="E416" s="10">
        <v>-1040</v>
      </c>
      <c r="F416" s="9">
        <v>0</v>
      </c>
      <c r="G416" s="9">
        <v>0</v>
      </c>
      <c r="H416" s="9">
        <v>0</v>
      </c>
      <c r="I416" s="10">
        <v>-1040</v>
      </c>
    </row>
    <row r="417" spans="1:9" x14ac:dyDescent="0.25">
      <c r="A417" s="3"/>
      <c r="B417" s="4" t="s">
        <v>276</v>
      </c>
      <c r="C417" s="8">
        <v>45681</v>
      </c>
      <c r="D417" s="4" t="s">
        <v>13</v>
      </c>
      <c r="E417" s="9">
        <v>30750</v>
      </c>
      <c r="F417" s="9">
        <v>0</v>
      </c>
      <c r="G417" s="9">
        <v>0</v>
      </c>
      <c r="H417" s="9">
        <v>30750</v>
      </c>
      <c r="I417" s="9">
        <v>0</v>
      </c>
    </row>
    <row r="418" spans="1:9" x14ac:dyDescent="0.25">
      <c r="A418" s="3"/>
      <c r="B418" s="4" t="s">
        <v>277</v>
      </c>
      <c r="C418" s="8">
        <v>45716</v>
      </c>
      <c r="D418" s="4" t="s">
        <v>15</v>
      </c>
      <c r="E418" s="10">
        <v>-300</v>
      </c>
      <c r="F418" s="9">
        <v>0</v>
      </c>
      <c r="G418" s="9">
        <v>0</v>
      </c>
      <c r="H418" s="10">
        <v>-300</v>
      </c>
      <c r="I418" s="9">
        <v>0</v>
      </c>
    </row>
    <row r="419" spans="1:9" x14ac:dyDescent="0.25">
      <c r="A419" s="3"/>
      <c r="B419" s="4" t="s">
        <v>277</v>
      </c>
      <c r="C419" s="8">
        <v>45716</v>
      </c>
      <c r="D419" s="4" t="s">
        <v>16</v>
      </c>
      <c r="E419" s="12">
        <v>-15000</v>
      </c>
      <c r="F419" s="11">
        <v>0</v>
      </c>
      <c r="G419" s="11">
        <v>0</v>
      </c>
      <c r="H419" s="12">
        <v>-15000</v>
      </c>
      <c r="I419" s="11">
        <v>0</v>
      </c>
    </row>
    <row r="421" spans="1:9" x14ac:dyDescent="0.25">
      <c r="A421" s="7" t="s">
        <v>23</v>
      </c>
      <c r="B421" s="3"/>
      <c r="C421" s="3"/>
      <c r="D421" s="3"/>
      <c r="E421" s="9">
        <f>SUBTOTAL(9,E410:E419)</f>
        <v>15450</v>
      </c>
      <c r="F421" s="9">
        <f>SUBTOTAL(9,F410:F419)</f>
        <v>0</v>
      </c>
      <c r="G421" s="9">
        <f>SUBTOTAL(9,G410:G419)</f>
        <v>0</v>
      </c>
      <c r="H421" s="9">
        <f>SUBTOTAL(9,H410:H419)</f>
        <v>15450</v>
      </c>
      <c r="I421" s="9">
        <f>SUBTOTAL(9,I410:I419)</f>
        <v>0</v>
      </c>
    </row>
    <row r="423" spans="1:9" x14ac:dyDescent="0.25">
      <c r="A423" s="7" t="s">
        <v>278</v>
      </c>
      <c r="B423" s="3"/>
      <c r="C423" s="3"/>
      <c r="D423" s="3"/>
      <c r="E423" s="9">
        <v>359348.69</v>
      </c>
      <c r="F423" s="9">
        <v>148103.97</v>
      </c>
      <c r="G423" s="9">
        <v>143121.12</v>
      </c>
      <c r="H423" s="9">
        <v>35585.22</v>
      </c>
      <c r="I423" s="9">
        <v>32538.38</v>
      </c>
    </row>
    <row r="424" spans="1:9" x14ac:dyDescent="0.25">
      <c r="A424" s="7" t="s">
        <v>279</v>
      </c>
      <c r="B424" s="3"/>
      <c r="C424" s="3"/>
      <c r="D424" s="3"/>
      <c r="E424" s="11">
        <v>0</v>
      </c>
      <c r="F424" s="11">
        <v>0</v>
      </c>
      <c r="G424" s="11">
        <v>0</v>
      </c>
      <c r="H424" s="11">
        <v>0</v>
      </c>
      <c r="I424" s="11">
        <v>0</v>
      </c>
    </row>
    <row r="426" spans="1:9" ht="15.75" thickBot="1" x14ac:dyDescent="0.3">
      <c r="A426" s="7" t="s">
        <v>23</v>
      </c>
      <c r="B426" s="3"/>
      <c r="C426" s="3"/>
      <c r="D426" s="3"/>
      <c r="E426" s="13">
        <f>SUBTOTAL(9,E422:E424)</f>
        <v>359348.69</v>
      </c>
      <c r="F426" s="13">
        <f>SUBTOTAL(9,F422:F424)</f>
        <v>148103.97</v>
      </c>
      <c r="G426" s="13">
        <f>SUBTOTAL(9,G422:G424)</f>
        <v>143121.12</v>
      </c>
      <c r="H426" s="13">
        <f>SUBTOTAL(9,H422:H424)</f>
        <v>35585.22</v>
      </c>
      <c r="I426" s="13">
        <f>SUBTOTAL(9,I422:I424)</f>
        <v>32538.38</v>
      </c>
    </row>
    <row r="427" spans="1:9" ht="15.75" thickTop="1" x14ac:dyDescent="0.25"/>
    <row r="428" spans="1:9" x14ac:dyDescent="0.25">
      <c r="A428" s="14" t="s">
        <v>280</v>
      </c>
      <c r="B428" s="14"/>
      <c r="C428" s="14"/>
      <c r="D428" s="14"/>
      <c r="E428" s="14"/>
      <c r="F428" s="14"/>
      <c r="G428" s="14"/>
      <c r="H428" s="14"/>
      <c r="I428" s="14"/>
    </row>
  </sheetData>
  <mergeCells count="1">
    <mergeCell ref="A428:I4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Warr</dc:creator>
  <cp:lastModifiedBy>Leonie Warr</cp:lastModifiedBy>
  <dcterms:created xsi:type="dcterms:W3CDTF">2026-07-23T03:00:15Z</dcterms:created>
  <dcterms:modified xsi:type="dcterms:W3CDTF">2026-07-23T03:00:30Z</dcterms:modified>
</cp:coreProperties>
</file>