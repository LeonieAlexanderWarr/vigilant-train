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rr\Desktop\AFDATOOL\Sage 50 Reports\"/>
    </mc:Choice>
  </mc:AlternateContent>
  <xr:revisionPtr revIDLastSave="0" documentId="8_{3C948AFD-D30E-4094-8D92-DDC70E120A58}" xr6:coauthVersionLast="47" xr6:coauthVersionMax="47" xr10:uidLastSave="{00000000-0000-0000-0000-000000000000}"/>
  <bookViews>
    <workbookView xWindow="2205" yWindow="2205" windowWidth="21600" windowHeight="11295" xr2:uid="{F8B778A9-C98E-49F0-A73B-7514F424F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1" i="1" l="1"/>
  <c r="C99" i="1"/>
  <c r="C97" i="1"/>
  <c r="C95" i="1"/>
  <c r="C91" i="1"/>
  <c r="C65" i="1"/>
  <c r="C60" i="1"/>
  <c r="C49" i="1"/>
  <c r="C40" i="1"/>
  <c r="C31" i="1"/>
  <c r="C29" i="1"/>
  <c r="C20" i="1"/>
  <c r="C13" i="1"/>
</calcChain>
</file>

<file path=xl/sharedStrings.xml><?xml version="1.0" encoding="utf-8"?>
<sst xmlns="http://schemas.openxmlformats.org/spreadsheetml/2006/main" count="94" uniqueCount="93">
  <si>
    <t>UNIVERSAL CONSTRUCTION</t>
  </si>
  <si>
    <t>Income Statement Mar 01, 2025 to Mar 31, 2025</t>
  </si>
  <si>
    <t/>
  </si>
  <si>
    <t xml:space="preserve"> </t>
  </si>
  <si>
    <t>REVENUE</t>
  </si>
  <si>
    <t>REVENUE: Services</t>
  </si>
  <si>
    <t>Drafting</t>
  </si>
  <si>
    <t>Engineering Consulting</t>
  </si>
  <si>
    <t>Estimating Consulting</t>
  </si>
  <si>
    <t>Surveying</t>
  </si>
  <si>
    <t>Other Services</t>
  </si>
  <si>
    <t>TOTAL REVENUE: Services</t>
  </si>
  <si>
    <t>REVENUE: Sales</t>
  </si>
  <si>
    <t>Sales: Drywall</t>
  </si>
  <si>
    <t>Sales: Hardware</t>
  </si>
  <si>
    <t>Sales: Lumber</t>
  </si>
  <si>
    <t>Sales: Roofing</t>
  </si>
  <si>
    <t>TOTAL REVENUE: Sales</t>
  </si>
  <si>
    <t>REVENUE: Other</t>
  </si>
  <si>
    <t>Freight Revenue</t>
  </si>
  <si>
    <t>Sales Discounts</t>
  </si>
  <si>
    <t>Gain/Loss when Invoiced: DO</t>
  </si>
  <si>
    <t>Gain/Loss when Invoiced: GRN</t>
  </si>
  <si>
    <t>Interest Revenue</t>
  </si>
  <si>
    <t>Miscellaneous Revenue</t>
  </si>
  <si>
    <t>TOTAL REVENUE: Other</t>
  </si>
  <si>
    <t>TOTAL REVENUE</t>
  </si>
  <si>
    <t>EXPENSE</t>
  </si>
  <si>
    <t>Cost of Goods Sold</t>
  </si>
  <si>
    <t>Material: Drywall</t>
  </si>
  <si>
    <t>Material: Hardware</t>
  </si>
  <si>
    <t>Material: Lumber</t>
  </si>
  <si>
    <t>Material: Roofing</t>
  </si>
  <si>
    <t>Total Cost of Goods Sold</t>
  </si>
  <si>
    <t>Operating Expenses</t>
  </si>
  <si>
    <t>Item Assembly Costs</t>
  </si>
  <si>
    <t>Adjustment Write-off</t>
  </si>
  <si>
    <t>Transfer Costs</t>
  </si>
  <si>
    <t>Purchase Discounts</t>
  </si>
  <si>
    <t>Equipment Rental</t>
  </si>
  <si>
    <t>Freight Expense</t>
  </si>
  <si>
    <t>Total Operating Expenses</t>
  </si>
  <si>
    <t>Payroll Expenses &amp; Subcontractors</t>
  </si>
  <si>
    <t>Wages &amp; Salaries</t>
  </si>
  <si>
    <t>EI Expense</t>
  </si>
  <si>
    <t>CPP Expense</t>
  </si>
  <si>
    <t>QPP Expense</t>
  </si>
  <si>
    <t>WCB Expense</t>
  </si>
  <si>
    <t>EHT Expense</t>
  </si>
  <si>
    <t>QPIP Expense</t>
  </si>
  <si>
    <t>QHSF Expense</t>
  </si>
  <si>
    <t>Payroll Expenses</t>
  </si>
  <si>
    <t>RRSP - Employers Share</t>
  </si>
  <si>
    <t>Union - Employers Share</t>
  </si>
  <si>
    <t>Medical - Employers Share</t>
  </si>
  <si>
    <t>Subcontractors</t>
  </si>
  <si>
    <t>Total Payroll Exp. &amp; Subcontractors</t>
  </si>
  <si>
    <t>General &amp; Administrative Expenses</t>
  </si>
  <si>
    <t>Accounting &amp; Legal</t>
  </si>
  <si>
    <t>Advertising &amp; Promotions</t>
  </si>
  <si>
    <t>Bad Debts</t>
  </si>
  <si>
    <t>Cash Short/Over</t>
  </si>
  <si>
    <t>Courier &amp; Postage</t>
  </si>
  <si>
    <t>Credit Card Charges</t>
  </si>
  <si>
    <t>Currency Exchange &amp; Rounding</t>
  </si>
  <si>
    <t>Amortization Expense</t>
  </si>
  <si>
    <t>Income Taxes</t>
  </si>
  <si>
    <t>Insurance</t>
  </si>
  <si>
    <t>Interest &amp; Bank Charges</t>
  </si>
  <si>
    <t>Office Supplies</t>
  </si>
  <si>
    <t>Property Taxes</t>
  </si>
  <si>
    <t>Miscellaneous</t>
  </si>
  <si>
    <t>Rent</t>
  </si>
  <si>
    <t>Repair &amp; Maintenance</t>
  </si>
  <si>
    <t>Telephone</t>
  </si>
  <si>
    <t>Travel</t>
  </si>
  <si>
    <t>Meals and Entertainment</t>
  </si>
  <si>
    <t>Utilities</t>
  </si>
  <si>
    <t>AMEX Commissions</t>
  </si>
  <si>
    <t>Mastercard Commissions</t>
  </si>
  <si>
    <t>Visa Commissions</t>
  </si>
  <si>
    <t>Credit Card Commissions: Net</t>
  </si>
  <si>
    <t>AMEX Charges</t>
  </si>
  <si>
    <t>Mastercard Charges</t>
  </si>
  <si>
    <t>Visa Charges</t>
  </si>
  <si>
    <t>Credit Card Charges: Net</t>
  </si>
  <si>
    <t>Licenses</t>
  </si>
  <si>
    <t>Total General &amp; Admin. Expenses</t>
  </si>
  <si>
    <t>TOTAL EXPENSE</t>
  </si>
  <si>
    <t>NET INCOME</t>
  </si>
  <si>
    <t>Generated On: Jul 22, 2026</t>
  </si>
  <si>
    <t>Un-audited financial statements</t>
  </si>
  <si>
    <t>Prepared by: 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</si>
</sst>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(#,##0.00\)"/>
  </numFmts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0" xfId="0" quotePrefix="1" applyNumberFormat="1" applyFont="1" applyAlignment="1">
      <alignment horizontal="center"/>
    </xf>
    <xf numFmtId="0" fontId="4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4052-E1CC-4E97-B1AD-51A11935723A}">
  <dimension ref="A1:D105"/>
  <sheetViews>
    <sheetView showGridLines="0"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29.42578125" bestFit="1" customWidth="1"/>
    <col min="2" max="2" width="8.28515625" bestFit="1" customWidth="1"/>
    <col min="3" max="3" width="9.140625" bestFit="1" customWidth="1"/>
    <col min="4" max="4" width="13.7109375" customWidth="1"/>
  </cols>
  <sheetData>
    <row r="1" spans="1:4" ht="18" x14ac:dyDescent="0.25">
      <c r="A1" s="1" t="s">
        <v>0</v>
      </c>
      <c r="B1" s="1"/>
      <c r="C1" s="1"/>
      <c r="D1" s="1"/>
    </row>
    <row r="2" spans="1:4" ht="18" x14ac:dyDescent="0.25">
      <c r="A2" s="2" t="s">
        <v>1</v>
      </c>
      <c r="B2" s="2"/>
      <c r="C2" s="2"/>
      <c r="D2" s="2"/>
    </row>
    <row r="3" spans="1:4" ht="18" x14ac:dyDescent="0.25">
      <c r="A3" s="2" t="s">
        <v>2</v>
      </c>
      <c r="B3" s="2"/>
      <c r="C3" s="2"/>
      <c r="D3" s="2"/>
    </row>
    <row r="4" spans="1:4" x14ac:dyDescent="0.25">
      <c r="A4" s="4" t="s">
        <v>3</v>
      </c>
      <c r="B4" s="5" t="s">
        <v>2</v>
      </c>
    </row>
    <row r="5" spans="1:4" x14ac:dyDescent="0.25">
      <c r="A5" s="6" t="s">
        <v>4</v>
      </c>
    </row>
    <row r="7" spans="1:4" x14ac:dyDescent="0.25">
      <c r="A7" s="6" t="s">
        <v>5</v>
      </c>
    </row>
    <row r="8" spans="1:4" x14ac:dyDescent="0.25">
      <c r="A8" s="4" t="s">
        <v>6</v>
      </c>
      <c r="B8" s="3"/>
      <c r="C8" s="7">
        <v>16390</v>
      </c>
    </row>
    <row r="9" spans="1:4" x14ac:dyDescent="0.25">
      <c r="A9" s="4" t="s">
        <v>7</v>
      </c>
      <c r="B9" s="3"/>
      <c r="C9" s="7">
        <v>2656.66</v>
      </c>
    </row>
    <row r="10" spans="1:4" x14ac:dyDescent="0.25">
      <c r="A10" s="4" t="s">
        <v>8</v>
      </c>
      <c r="B10" s="3"/>
      <c r="C10" s="7">
        <v>1000</v>
      </c>
    </row>
    <row r="11" spans="1:4" x14ac:dyDescent="0.25">
      <c r="A11" s="4" t="s">
        <v>9</v>
      </c>
      <c r="B11" s="3"/>
      <c r="C11" s="7">
        <v>11375.66</v>
      </c>
    </row>
    <row r="12" spans="1:4" x14ac:dyDescent="0.25">
      <c r="A12" s="4" t="s">
        <v>10</v>
      </c>
      <c r="B12" s="3"/>
      <c r="C12" s="8">
        <v>2500</v>
      </c>
    </row>
    <row r="13" spans="1:4" x14ac:dyDescent="0.25">
      <c r="A13" s="6" t="s">
        <v>11</v>
      </c>
      <c r="B13" s="3"/>
      <c r="C13" s="9">
        <f>SUBTOTAL(9,C6:C12)</f>
        <v>33922.32</v>
      </c>
    </row>
    <row r="15" spans="1:4" x14ac:dyDescent="0.25">
      <c r="A15" s="6" t="s">
        <v>12</v>
      </c>
    </row>
    <row r="16" spans="1:4" x14ac:dyDescent="0.25">
      <c r="A16" s="4" t="s">
        <v>13</v>
      </c>
      <c r="B16" s="3"/>
      <c r="C16" s="7">
        <v>1834.5</v>
      </c>
    </row>
    <row r="17" spans="1:3" x14ac:dyDescent="0.25">
      <c r="A17" s="4" t="s">
        <v>14</v>
      </c>
      <c r="B17" s="3"/>
      <c r="C17" s="7">
        <v>82575.55</v>
      </c>
    </row>
    <row r="18" spans="1:3" x14ac:dyDescent="0.25">
      <c r="A18" s="4" t="s">
        <v>15</v>
      </c>
      <c r="B18" s="3"/>
      <c r="C18" s="7">
        <v>6908.32</v>
      </c>
    </row>
    <row r="19" spans="1:3" x14ac:dyDescent="0.25">
      <c r="A19" s="4" t="s">
        <v>16</v>
      </c>
      <c r="B19" s="3"/>
      <c r="C19" s="8">
        <v>18085</v>
      </c>
    </row>
    <row r="20" spans="1:3" x14ac:dyDescent="0.25">
      <c r="A20" s="6" t="s">
        <v>17</v>
      </c>
      <c r="B20" s="3"/>
      <c r="C20" s="9">
        <f>SUBTOTAL(9,C14:C19)</f>
        <v>109403.37</v>
      </c>
    </row>
    <row r="22" spans="1:3" x14ac:dyDescent="0.25">
      <c r="A22" s="6" t="s">
        <v>18</v>
      </c>
    </row>
    <row r="23" spans="1:3" x14ac:dyDescent="0.25">
      <c r="A23" s="4" t="s">
        <v>19</v>
      </c>
      <c r="B23" s="3"/>
      <c r="C23" s="7">
        <v>840</v>
      </c>
    </row>
    <row r="24" spans="1:3" x14ac:dyDescent="0.25">
      <c r="A24" s="4" t="s">
        <v>20</v>
      </c>
      <c r="B24" s="3"/>
      <c r="C24" s="10">
        <v>-326.51</v>
      </c>
    </row>
    <row r="25" spans="1:3" x14ac:dyDescent="0.25">
      <c r="A25" s="4" t="s">
        <v>21</v>
      </c>
      <c r="B25" s="3"/>
      <c r="C25" s="7">
        <v>0</v>
      </c>
    </row>
    <row r="26" spans="1:3" x14ac:dyDescent="0.25">
      <c r="A26" s="4" t="s">
        <v>22</v>
      </c>
      <c r="B26" s="3"/>
      <c r="C26" s="7">
        <v>0</v>
      </c>
    </row>
    <row r="27" spans="1:3" x14ac:dyDescent="0.25">
      <c r="A27" s="4" t="s">
        <v>23</v>
      </c>
      <c r="B27" s="3"/>
      <c r="C27" s="7">
        <v>0</v>
      </c>
    </row>
    <row r="28" spans="1:3" x14ac:dyDescent="0.25">
      <c r="A28" s="4" t="s">
        <v>24</v>
      </c>
      <c r="B28" s="3"/>
      <c r="C28" s="8">
        <v>0</v>
      </c>
    </row>
    <row r="29" spans="1:3" x14ac:dyDescent="0.25">
      <c r="A29" s="6" t="s">
        <v>25</v>
      </c>
      <c r="B29" s="3"/>
      <c r="C29" s="9">
        <f>SUBTOTAL(9,C21:C28)</f>
        <v>513.49</v>
      </c>
    </row>
    <row r="31" spans="1:3" x14ac:dyDescent="0.25">
      <c r="A31" s="6" t="s">
        <v>26</v>
      </c>
      <c r="B31" s="3"/>
      <c r="C31" s="8">
        <f>SUBTOTAL(9,C6:C29)</f>
        <v>143839.18</v>
      </c>
    </row>
    <row r="33" spans="1:3" x14ac:dyDescent="0.25">
      <c r="A33" s="6" t="s">
        <v>27</v>
      </c>
    </row>
    <row r="35" spans="1:3" x14ac:dyDescent="0.25">
      <c r="A35" s="6" t="s">
        <v>28</v>
      </c>
    </row>
    <row r="36" spans="1:3" x14ac:dyDescent="0.25">
      <c r="A36" s="4" t="s">
        <v>29</v>
      </c>
      <c r="B36" s="3"/>
      <c r="C36" s="7">
        <v>433.36</v>
      </c>
    </row>
    <row r="37" spans="1:3" x14ac:dyDescent="0.25">
      <c r="A37" s="4" t="s">
        <v>30</v>
      </c>
      <c r="B37" s="3"/>
      <c r="C37" s="7">
        <v>12855.79</v>
      </c>
    </row>
    <row r="38" spans="1:3" x14ac:dyDescent="0.25">
      <c r="A38" s="4" t="s">
        <v>31</v>
      </c>
      <c r="B38" s="3"/>
      <c r="C38" s="7">
        <v>10269.83</v>
      </c>
    </row>
    <row r="39" spans="1:3" x14ac:dyDescent="0.25">
      <c r="A39" s="4" t="s">
        <v>32</v>
      </c>
      <c r="B39" s="3"/>
      <c r="C39" s="8">
        <v>2238.1999999999998</v>
      </c>
    </row>
    <row r="40" spans="1:3" x14ac:dyDescent="0.25">
      <c r="A40" s="6" t="s">
        <v>33</v>
      </c>
      <c r="B40" s="3"/>
      <c r="C40" s="9">
        <f>SUBTOTAL(9,C34:C39)</f>
        <v>25797.180000000004</v>
      </c>
    </row>
    <row r="42" spans="1:3" x14ac:dyDescent="0.25">
      <c r="A42" s="6" t="s">
        <v>34</v>
      </c>
    </row>
    <row r="43" spans="1:3" x14ac:dyDescent="0.25">
      <c r="A43" s="4" t="s">
        <v>35</v>
      </c>
      <c r="B43" s="3"/>
      <c r="C43" s="10">
        <v>-1200</v>
      </c>
    </row>
    <row r="44" spans="1:3" x14ac:dyDescent="0.25">
      <c r="A44" s="4" t="s">
        <v>36</v>
      </c>
      <c r="B44" s="3"/>
      <c r="C44" s="7">
        <v>0</v>
      </c>
    </row>
    <row r="45" spans="1:3" x14ac:dyDescent="0.25">
      <c r="A45" s="4" t="s">
        <v>37</v>
      </c>
      <c r="B45" s="3"/>
      <c r="C45" s="7">
        <v>0</v>
      </c>
    </row>
    <row r="46" spans="1:3" x14ac:dyDescent="0.25">
      <c r="A46" s="4" t="s">
        <v>38</v>
      </c>
      <c r="B46" s="3"/>
      <c r="C46" s="10">
        <v>-173.66</v>
      </c>
    </row>
    <row r="47" spans="1:3" x14ac:dyDescent="0.25">
      <c r="A47" s="4" t="s">
        <v>39</v>
      </c>
      <c r="B47" s="3"/>
      <c r="C47" s="7">
        <v>6211.35</v>
      </c>
    </row>
    <row r="48" spans="1:3" x14ac:dyDescent="0.25">
      <c r="A48" s="4" t="s">
        <v>40</v>
      </c>
      <c r="B48" s="3"/>
      <c r="C48" s="8">
        <v>91.65</v>
      </c>
    </row>
    <row r="49" spans="1:3" x14ac:dyDescent="0.25">
      <c r="A49" s="6" t="s">
        <v>41</v>
      </c>
      <c r="B49" s="3"/>
      <c r="C49" s="9">
        <f>SUBTOTAL(9,C41:C48)</f>
        <v>4929.34</v>
      </c>
    </row>
    <row r="51" spans="1:3" x14ac:dyDescent="0.25">
      <c r="A51" s="6" t="s">
        <v>42</v>
      </c>
    </row>
    <row r="52" spans="1:3" x14ac:dyDescent="0.25">
      <c r="A52" s="4" t="s">
        <v>43</v>
      </c>
      <c r="B52" s="7">
        <v>50051.15</v>
      </c>
    </row>
    <row r="53" spans="1:3" x14ac:dyDescent="0.25">
      <c r="A53" s="4" t="s">
        <v>44</v>
      </c>
      <c r="B53" s="7">
        <v>1503.35</v>
      </c>
    </row>
    <row r="54" spans="1:3" x14ac:dyDescent="0.25">
      <c r="A54" s="4" t="s">
        <v>45</v>
      </c>
      <c r="B54" s="7">
        <v>2313.9699999999998</v>
      </c>
    </row>
    <row r="55" spans="1:3" x14ac:dyDescent="0.25">
      <c r="A55" s="4" t="s">
        <v>46</v>
      </c>
      <c r="B55" s="7">
        <v>394.85</v>
      </c>
    </row>
    <row r="56" spans="1:3" x14ac:dyDescent="0.25">
      <c r="A56" s="4" t="s">
        <v>47</v>
      </c>
      <c r="B56" s="7">
        <v>837.15</v>
      </c>
    </row>
    <row r="57" spans="1:3" x14ac:dyDescent="0.25">
      <c r="A57" s="4" t="s">
        <v>48</v>
      </c>
      <c r="B57" s="7">
        <v>225.5</v>
      </c>
    </row>
    <row r="58" spans="1:3" x14ac:dyDescent="0.25">
      <c r="A58" s="4" t="s">
        <v>49</v>
      </c>
      <c r="B58" s="7">
        <v>54.4</v>
      </c>
    </row>
    <row r="59" spans="1:3" x14ac:dyDescent="0.25">
      <c r="A59" s="4" t="s">
        <v>50</v>
      </c>
      <c r="B59" s="8">
        <v>402.18</v>
      </c>
    </row>
    <row r="60" spans="1:3" x14ac:dyDescent="0.25">
      <c r="A60" s="4" t="s">
        <v>51</v>
      </c>
      <c r="B60" s="3"/>
      <c r="C60" s="7">
        <f>(B52+B53+B54+B55+B56+B57+B58+B59)</f>
        <v>55782.55</v>
      </c>
    </row>
    <row r="61" spans="1:3" x14ac:dyDescent="0.25">
      <c r="A61" s="4" t="s">
        <v>52</v>
      </c>
      <c r="B61" s="3"/>
      <c r="C61" s="7">
        <v>292</v>
      </c>
    </row>
    <row r="62" spans="1:3" x14ac:dyDescent="0.25">
      <c r="A62" s="4" t="s">
        <v>53</v>
      </c>
      <c r="B62" s="3"/>
      <c r="C62" s="7">
        <v>150</v>
      </c>
    </row>
    <row r="63" spans="1:3" x14ac:dyDescent="0.25">
      <c r="A63" s="4" t="s">
        <v>54</v>
      </c>
      <c r="B63" s="3"/>
      <c r="C63" s="7">
        <v>630</v>
      </c>
    </row>
    <row r="64" spans="1:3" x14ac:dyDescent="0.25">
      <c r="A64" s="4" t="s">
        <v>55</v>
      </c>
      <c r="B64" s="3"/>
      <c r="C64" s="8">
        <v>0</v>
      </c>
    </row>
    <row r="65" spans="1:3" x14ac:dyDescent="0.25">
      <c r="A65" s="6" t="s">
        <v>56</v>
      </c>
      <c r="B65" s="3"/>
      <c r="C65" s="9">
        <f>SUBTOTAL(9,C50:C64)</f>
        <v>56854.55</v>
      </c>
    </row>
    <row r="67" spans="1:3" x14ac:dyDescent="0.25">
      <c r="A67" s="6" t="s">
        <v>57</v>
      </c>
    </row>
    <row r="68" spans="1:3" x14ac:dyDescent="0.25">
      <c r="A68" s="4" t="s">
        <v>58</v>
      </c>
      <c r="B68" s="3"/>
      <c r="C68" s="7">
        <v>13462</v>
      </c>
    </row>
    <row r="69" spans="1:3" x14ac:dyDescent="0.25">
      <c r="A69" s="4" t="s">
        <v>59</v>
      </c>
      <c r="B69" s="3"/>
      <c r="C69" s="7">
        <v>114.13</v>
      </c>
    </row>
    <row r="70" spans="1:3" x14ac:dyDescent="0.25">
      <c r="A70" s="4" t="s">
        <v>60</v>
      </c>
      <c r="B70" s="3"/>
      <c r="C70" s="7">
        <v>0</v>
      </c>
    </row>
    <row r="71" spans="1:3" x14ac:dyDescent="0.25">
      <c r="A71" s="4" t="s">
        <v>61</v>
      </c>
      <c r="B71" s="3"/>
      <c r="C71" s="7">
        <v>0</v>
      </c>
    </row>
    <row r="72" spans="1:3" x14ac:dyDescent="0.25">
      <c r="A72" s="4" t="s">
        <v>62</v>
      </c>
      <c r="B72" s="3"/>
      <c r="C72" s="7">
        <v>105.37</v>
      </c>
    </row>
    <row r="73" spans="1:3" x14ac:dyDescent="0.25">
      <c r="A73" s="4" t="s">
        <v>63</v>
      </c>
      <c r="B73" s="3"/>
      <c r="C73" s="7">
        <v>0</v>
      </c>
    </row>
    <row r="74" spans="1:3" x14ac:dyDescent="0.25">
      <c r="A74" s="4" t="s">
        <v>64</v>
      </c>
      <c r="B74" s="3"/>
      <c r="C74" s="10">
        <v>-150</v>
      </c>
    </row>
    <row r="75" spans="1:3" x14ac:dyDescent="0.25">
      <c r="A75" s="4" t="s">
        <v>65</v>
      </c>
      <c r="B75" s="3"/>
      <c r="C75" s="7">
        <v>2803.38</v>
      </c>
    </row>
    <row r="76" spans="1:3" x14ac:dyDescent="0.25">
      <c r="A76" s="4" t="s">
        <v>66</v>
      </c>
      <c r="B76" s="3"/>
      <c r="C76" s="7">
        <v>0</v>
      </c>
    </row>
    <row r="77" spans="1:3" x14ac:dyDescent="0.25">
      <c r="A77" s="4" t="s">
        <v>67</v>
      </c>
      <c r="B77" s="3"/>
      <c r="C77" s="7">
        <v>100</v>
      </c>
    </row>
    <row r="78" spans="1:3" x14ac:dyDescent="0.25">
      <c r="A78" s="4" t="s">
        <v>68</v>
      </c>
      <c r="B78" s="3"/>
      <c r="C78" s="7">
        <v>180.3</v>
      </c>
    </row>
    <row r="79" spans="1:3" x14ac:dyDescent="0.25">
      <c r="A79" s="4" t="s">
        <v>69</v>
      </c>
      <c r="B79" s="3"/>
      <c r="C79" s="7">
        <v>56.35</v>
      </c>
    </row>
    <row r="80" spans="1:3" x14ac:dyDescent="0.25">
      <c r="A80" s="4" t="s">
        <v>70</v>
      </c>
      <c r="B80" s="3"/>
      <c r="C80" s="7">
        <v>0</v>
      </c>
    </row>
    <row r="81" spans="1:3" x14ac:dyDescent="0.25">
      <c r="A81" s="4" t="s">
        <v>71</v>
      </c>
      <c r="B81" s="3"/>
      <c r="C81" s="7">
        <v>0</v>
      </c>
    </row>
    <row r="82" spans="1:3" x14ac:dyDescent="0.25">
      <c r="A82" s="4" t="s">
        <v>72</v>
      </c>
      <c r="B82" s="3"/>
      <c r="C82" s="7">
        <v>1712</v>
      </c>
    </row>
    <row r="83" spans="1:3" x14ac:dyDescent="0.25">
      <c r="A83" s="4" t="s">
        <v>73</v>
      </c>
      <c r="B83" s="3"/>
      <c r="C83" s="7">
        <v>3265.04</v>
      </c>
    </row>
    <row r="84" spans="1:3" x14ac:dyDescent="0.25">
      <c r="A84" s="4" t="s">
        <v>74</v>
      </c>
      <c r="B84" s="3"/>
      <c r="C84" s="7">
        <v>1866.34</v>
      </c>
    </row>
    <row r="85" spans="1:3" x14ac:dyDescent="0.25">
      <c r="A85" s="4" t="s">
        <v>75</v>
      </c>
      <c r="B85" s="3"/>
      <c r="C85" s="7">
        <v>160.5</v>
      </c>
    </row>
    <row r="86" spans="1:3" x14ac:dyDescent="0.25">
      <c r="A86" s="4" t="s">
        <v>76</v>
      </c>
      <c r="B86" s="3"/>
      <c r="C86" s="7">
        <v>0</v>
      </c>
    </row>
    <row r="87" spans="1:3" x14ac:dyDescent="0.25">
      <c r="A87" s="4" t="s">
        <v>77</v>
      </c>
      <c r="B87" s="3"/>
      <c r="C87" s="7">
        <v>1970.87</v>
      </c>
    </row>
    <row r="88" spans="1:3" x14ac:dyDescent="0.25">
      <c r="A88" s="4" t="s">
        <v>78</v>
      </c>
      <c r="B88" s="7">
        <v>260</v>
      </c>
    </row>
    <row r="89" spans="1:3" x14ac:dyDescent="0.25">
      <c r="A89" s="4" t="s">
        <v>79</v>
      </c>
      <c r="B89" s="7">
        <v>0</v>
      </c>
    </row>
    <row r="90" spans="1:3" x14ac:dyDescent="0.25">
      <c r="A90" s="4" t="s">
        <v>80</v>
      </c>
      <c r="B90" s="8">
        <v>0</v>
      </c>
    </row>
    <row r="91" spans="1:3" x14ac:dyDescent="0.25">
      <c r="A91" s="4" t="s">
        <v>81</v>
      </c>
      <c r="B91" s="3"/>
      <c r="C91" s="7">
        <f>(B88+B89+B90)</f>
        <v>260</v>
      </c>
    </row>
    <row r="92" spans="1:3" x14ac:dyDescent="0.25">
      <c r="A92" s="4" t="s">
        <v>82</v>
      </c>
      <c r="B92" s="7">
        <v>0</v>
      </c>
    </row>
    <row r="93" spans="1:3" x14ac:dyDescent="0.25">
      <c r="A93" s="4" t="s">
        <v>83</v>
      </c>
      <c r="B93" s="7">
        <v>0</v>
      </c>
    </row>
    <row r="94" spans="1:3" x14ac:dyDescent="0.25">
      <c r="A94" s="4" t="s">
        <v>84</v>
      </c>
      <c r="B94" s="8">
        <v>0</v>
      </c>
    </row>
    <row r="95" spans="1:3" x14ac:dyDescent="0.25">
      <c r="A95" s="4" t="s">
        <v>85</v>
      </c>
      <c r="B95" s="3"/>
      <c r="C95" s="7">
        <f>(B92+B93+B94)</f>
        <v>0</v>
      </c>
    </row>
    <row r="96" spans="1:3" x14ac:dyDescent="0.25">
      <c r="A96" s="4" t="s">
        <v>86</v>
      </c>
      <c r="B96" s="3"/>
      <c r="C96" s="8">
        <v>50</v>
      </c>
    </row>
    <row r="97" spans="1:4" x14ac:dyDescent="0.25">
      <c r="A97" s="6" t="s">
        <v>87</v>
      </c>
      <c r="B97" s="3"/>
      <c r="C97" s="9">
        <f>SUBTOTAL(9,C66:C96)</f>
        <v>25956.28</v>
      </c>
    </row>
    <row r="99" spans="1:4" x14ac:dyDescent="0.25">
      <c r="A99" s="6" t="s">
        <v>88</v>
      </c>
      <c r="B99" s="3"/>
      <c r="C99" s="8">
        <f>SUBTOTAL(9,C34:C97)</f>
        <v>113537.35</v>
      </c>
    </row>
    <row r="101" spans="1:4" ht="15.75" thickBot="1" x14ac:dyDescent="0.3">
      <c r="A101" s="6" t="s">
        <v>89</v>
      </c>
      <c r="B101" s="3"/>
      <c r="C101" s="11">
        <f>(C31-C99)</f>
        <v>30301.829999999987</v>
      </c>
    </row>
    <row r="102" spans="1:4" ht="15.75" thickTop="1" x14ac:dyDescent="0.25"/>
    <row r="103" spans="1:4" x14ac:dyDescent="0.25">
      <c r="A103" s="12" t="s">
        <v>90</v>
      </c>
      <c r="B103" s="12"/>
      <c r="C103" s="12"/>
      <c r="D103" s="12"/>
    </row>
    <row r="104" spans="1:4" x14ac:dyDescent="0.25">
      <c r="A104" s="12" t="s">
        <v>91</v>
      </c>
      <c r="B104" s="12"/>
      <c r="C104" s="12"/>
      <c r="D104" s="12"/>
    </row>
    <row r="105" spans="1:4" x14ac:dyDescent="0.25">
      <c r="A105" s="12" t="s">
        <v>92</v>
      </c>
      <c r="B105" s="12"/>
      <c r="C105" s="12"/>
      <c r="D105" s="12"/>
    </row>
  </sheetData>
  <mergeCells count="3">
    <mergeCell ref="A103:D103"/>
    <mergeCell ref="A104:D104"/>
    <mergeCell ref="A105:D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Warr</dc:creator>
  <cp:lastModifiedBy>Leonie Warr</cp:lastModifiedBy>
  <dcterms:created xsi:type="dcterms:W3CDTF">2026-07-23T03:07:46Z</dcterms:created>
  <dcterms:modified xsi:type="dcterms:W3CDTF">2026-07-23T03:07:48Z</dcterms:modified>
</cp:coreProperties>
</file>