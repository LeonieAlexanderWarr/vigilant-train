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arr\Desktop\AFDATOOL\Sage 50 Reports\"/>
    </mc:Choice>
  </mc:AlternateContent>
  <xr:revisionPtr revIDLastSave="0" documentId="8_{E8CD007C-FE2C-4EF4-9A9B-004900D023E9}" xr6:coauthVersionLast="47" xr6:coauthVersionMax="47" xr10:uidLastSave="{00000000-0000-0000-0000-000000000000}"/>
  <bookViews>
    <workbookView xWindow="2205" yWindow="2205" windowWidth="21600" windowHeight="11295" xr2:uid="{B71C6D20-96CA-46A1-B07A-1AD7C5249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52" i="1" l="1"/>
  <c r="I252" i="1"/>
  <c r="H252" i="1"/>
  <c r="K250" i="1"/>
  <c r="K249" i="1"/>
  <c r="J246" i="1"/>
  <c r="I246" i="1"/>
  <c r="H246" i="1"/>
  <c r="K244" i="1"/>
  <c r="K243" i="1"/>
  <c r="K242" i="1"/>
  <c r="J239" i="1"/>
  <c r="I239" i="1"/>
  <c r="H239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J223" i="1"/>
  <c r="I223" i="1"/>
  <c r="H223" i="1"/>
  <c r="K221" i="1"/>
  <c r="K220" i="1"/>
  <c r="K219" i="1"/>
  <c r="J216" i="1"/>
  <c r="I216" i="1"/>
  <c r="H216" i="1"/>
  <c r="K214" i="1"/>
  <c r="K213" i="1"/>
  <c r="K212" i="1"/>
  <c r="K211" i="1"/>
  <c r="K210" i="1"/>
  <c r="K209" i="1"/>
  <c r="K208" i="1"/>
  <c r="K207" i="1"/>
  <c r="K206" i="1"/>
  <c r="K205" i="1"/>
  <c r="J202" i="1"/>
  <c r="I202" i="1"/>
  <c r="H202" i="1"/>
  <c r="K200" i="1"/>
  <c r="K199" i="1"/>
  <c r="J196" i="1"/>
  <c r="I196" i="1"/>
  <c r="H196" i="1"/>
  <c r="K194" i="1"/>
  <c r="K193" i="1"/>
  <c r="K192" i="1"/>
  <c r="K191" i="1"/>
  <c r="K190" i="1"/>
  <c r="J187" i="1"/>
  <c r="I187" i="1"/>
  <c r="H187" i="1"/>
  <c r="K185" i="1"/>
  <c r="K184" i="1"/>
  <c r="K183" i="1"/>
  <c r="K182" i="1"/>
  <c r="K181" i="1"/>
  <c r="K180" i="1"/>
  <c r="K179" i="1"/>
  <c r="K178" i="1"/>
  <c r="K177" i="1"/>
  <c r="K176" i="1"/>
  <c r="J173" i="1"/>
  <c r="I173" i="1"/>
  <c r="H173" i="1"/>
  <c r="K171" i="1"/>
  <c r="K170" i="1"/>
  <c r="K169" i="1"/>
  <c r="K168" i="1"/>
  <c r="K167" i="1"/>
  <c r="J164" i="1"/>
  <c r="I164" i="1"/>
  <c r="H164" i="1"/>
  <c r="K162" i="1"/>
  <c r="K161" i="1"/>
  <c r="K160" i="1"/>
  <c r="K159" i="1"/>
  <c r="K158" i="1"/>
  <c r="K157" i="1"/>
  <c r="K156" i="1"/>
  <c r="K155" i="1"/>
  <c r="K154" i="1"/>
  <c r="J151" i="1"/>
  <c r="I151" i="1"/>
  <c r="H151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J131" i="1"/>
  <c r="I131" i="1"/>
  <c r="H131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J115" i="1"/>
  <c r="I115" i="1"/>
  <c r="H115" i="1"/>
  <c r="K113" i="1"/>
  <c r="K112" i="1"/>
  <c r="K111" i="1"/>
  <c r="K110" i="1"/>
  <c r="J107" i="1"/>
  <c r="I107" i="1"/>
  <c r="H107" i="1"/>
  <c r="K105" i="1"/>
  <c r="K104" i="1"/>
  <c r="K103" i="1"/>
  <c r="J100" i="1"/>
  <c r="I100" i="1"/>
  <c r="H100" i="1"/>
  <c r="K98" i="1"/>
  <c r="K97" i="1"/>
  <c r="J94" i="1"/>
  <c r="I94" i="1"/>
  <c r="H94" i="1"/>
  <c r="K92" i="1"/>
  <c r="K91" i="1"/>
  <c r="K90" i="1"/>
  <c r="K89" i="1"/>
  <c r="K88" i="1"/>
  <c r="K87" i="1"/>
  <c r="K86" i="1"/>
  <c r="K85" i="1"/>
  <c r="J82" i="1"/>
  <c r="I82" i="1"/>
  <c r="H82" i="1"/>
  <c r="K80" i="1"/>
  <c r="K79" i="1"/>
  <c r="K78" i="1"/>
  <c r="J75" i="1"/>
  <c r="I75" i="1"/>
  <c r="H75" i="1"/>
  <c r="K73" i="1"/>
  <c r="K72" i="1"/>
  <c r="K71" i="1"/>
  <c r="K70" i="1"/>
  <c r="K69" i="1"/>
  <c r="K68" i="1"/>
  <c r="K67" i="1"/>
  <c r="K66" i="1"/>
  <c r="K65" i="1"/>
  <c r="K64" i="1"/>
  <c r="J61" i="1"/>
  <c r="I61" i="1"/>
  <c r="H61" i="1"/>
  <c r="K59" i="1"/>
  <c r="K58" i="1"/>
  <c r="J55" i="1"/>
  <c r="I55" i="1"/>
  <c r="H55" i="1"/>
  <c r="K53" i="1"/>
  <c r="K52" i="1"/>
  <c r="K51" i="1"/>
  <c r="J48" i="1"/>
  <c r="I48" i="1"/>
  <c r="H48" i="1"/>
  <c r="K46" i="1"/>
  <c r="K45" i="1"/>
  <c r="K44" i="1"/>
  <c r="K43" i="1"/>
  <c r="K42" i="1"/>
  <c r="K41" i="1"/>
  <c r="J38" i="1"/>
  <c r="I38" i="1"/>
  <c r="H38" i="1"/>
  <c r="K36" i="1"/>
  <c r="K35" i="1"/>
  <c r="K34" i="1"/>
  <c r="K33" i="1"/>
  <c r="K32" i="1"/>
  <c r="J29" i="1"/>
  <c r="I29" i="1"/>
  <c r="H29" i="1"/>
  <c r="K27" i="1"/>
  <c r="K26" i="1"/>
  <c r="K25" i="1"/>
  <c r="K24" i="1"/>
  <c r="K23" i="1"/>
  <c r="K22" i="1"/>
  <c r="K21" i="1"/>
  <c r="K20" i="1"/>
  <c r="K19" i="1"/>
  <c r="J16" i="1"/>
  <c r="I16" i="1"/>
  <c r="H16" i="1"/>
  <c r="K14" i="1"/>
  <c r="K13" i="1"/>
  <c r="J10" i="1"/>
  <c r="I10" i="1"/>
  <c r="H10" i="1"/>
  <c r="K8" i="1"/>
  <c r="K7" i="1"/>
  <c r="K6" i="1"/>
</calcChain>
</file>

<file path=xl/sharedStrings.xml><?xml version="1.0" encoding="utf-8"?>
<sst xmlns="http://schemas.openxmlformats.org/spreadsheetml/2006/main" count="621" uniqueCount="201">
  <si>
    <t>UNIVERSAL CONSTRUCTION</t>
  </si>
  <si>
    <t>Customer Sales Detail Report Jul 01, 2024 to Mar 31, 2025</t>
  </si>
  <si>
    <t/>
  </si>
  <si>
    <t>Date</t>
  </si>
  <si>
    <t>Item No.</t>
  </si>
  <si>
    <t>Source</t>
  </si>
  <si>
    <t>JE#</t>
  </si>
  <si>
    <t>Quantity</t>
  </si>
  <si>
    <t>Unit</t>
  </si>
  <si>
    <t>Revenue</t>
  </si>
  <si>
    <t>COGS</t>
  </si>
  <si>
    <t>Profit</t>
  </si>
  <si>
    <t>Margin %</t>
  </si>
  <si>
    <t>Ashburton Reinforcing</t>
  </si>
  <si>
    <t>H1020</t>
  </si>
  <si>
    <t>27817</t>
  </si>
  <si>
    <t>J183</t>
  </si>
  <si>
    <t>Each</t>
  </si>
  <si>
    <t>H2010</t>
  </si>
  <si>
    <t>Pair</t>
  </si>
  <si>
    <t>L1030</t>
  </si>
  <si>
    <t>Sheet</t>
  </si>
  <si>
    <t>Askew Shopping Centre</t>
  </si>
  <si>
    <t>H2020</t>
  </si>
  <si>
    <t>27820</t>
  </si>
  <si>
    <t>J187</t>
  </si>
  <si>
    <t>Freight</t>
  </si>
  <si>
    <t>Bayswater School Board</t>
  </si>
  <si>
    <t>L2101</t>
  </si>
  <si>
    <t>27827</t>
  </si>
  <si>
    <t>J235</t>
  </si>
  <si>
    <t>Board</t>
  </si>
  <si>
    <t>H8010</t>
  </si>
  <si>
    <t>Gallon</t>
  </si>
  <si>
    <t>W1010</t>
  </si>
  <si>
    <t>R2040</t>
  </si>
  <si>
    <t>27830</t>
  </si>
  <si>
    <t>J282</t>
  </si>
  <si>
    <t>H1030</t>
  </si>
  <si>
    <t>W1030</t>
  </si>
  <si>
    <t>27837</t>
  </si>
  <si>
    <t>J359</t>
  </si>
  <si>
    <t>H2520</t>
  </si>
  <si>
    <t>Pound</t>
  </si>
  <si>
    <t>Belvedere Nursing Home</t>
  </si>
  <si>
    <t>R1010</t>
  </si>
  <si>
    <t>27810</t>
  </si>
  <si>
    <t>J130</t>
  </si>
  <si>
    <t>Roll</t>
  </si>
  <si>
    <t>R1020</t>
  </si>
  <si>
    <t>Bundle</t>
  </si>
  <si>
    <t>R1001</t>
  </si>
  <si>
    <t>Package</t>
  </si>
  <si>
    <t>27823</t>
  </si>
  <si>
    <t>J230</t>
  </si>
  <si>
    <t>Brown, Jerome B.</t>
  </si>
  <si>
    <t>27836</t>
  </si>
  <si>
    <t>J357</t>
  </si>
  <si>
    <t>L2001</t>
  </si>
  <si>
    <t>L2010</t>
  </si>
  <si>
    <t>L2020</t>
  </si>
  <si>
    <t>L2130</t>
  </si>
  <si>
    <t>Catmos Island Construction Unlimited</t>
  </si>
  <si>
    <t>D1020</t>
  </si>
  <si>
    <t>DO-2</t>
  </si>
  <si>
    <t>J508</t>
  </si>
  <si>
    <t>H2830</t>
  </si>
  <si>
    <t>Cavendish, Peter S.</t>
  </si>
  <si>
    <t>H9010</t>
  </si>
  <si>
    <t>27825</t>
  </si>
  <si>
    <t>J233</t>
  </si>
  <si>
    <t>Pint</t>
  </si>
  <si>
    <t>L1010</t>
  </si>
  <si>
    <t>Construction Concrete Corp</t>
  </si>
  <si>
    <t>27804</t>
  </si>
  <si>
    <t>J75</t>
  </si>
  <si>
    <t>W1090</t>
  </si>
  <si>
    <t>W2001</t>
  </si>
  <si>
    <t>H2810</t>
  </si>
  <si>
    <t>27818</t>
  </si>
  <si>
    <t>J186</t>
  </si>
  <si>
    <t>C1020</t>
  </si>
  <si>
    <t>27840</t>
  </si>
  <si>
    <t>J421</t>
  </si>
  <si>
    <t>DAB Collision Ltd</t>
  </si>
  <si>
    <t>F1020</t>
  </si>
  <si>
    <t>27845</t>
  </si>
  <si>
    <t>J425</t>
  </si>
  <si>
    <t>Section</t>
  </si>
  <si>
    <t>17814</t>
  </si>
  <si>
    <t>J475</t>
  </si>
  <si>
    <t>District Of Slocan</t>
  </si>
  <si>
    <t>17817</t>
  </si>
  <si>
    <t>J349</t>
  </si>
  <si>
    <t>W1040</t>
  </si>
  <si>
    <t>27844</t>
  </si>
  <si>
    <t>J415</t>
  </si>
  <si>
    <t>W1020</t>
  </si>
  <si>
    <t>27854</t>
  </si>
  <si>
    <t>J488</t>
  </si>
  <si>
    <t>L1020</t>
  </si>
  <si>
    <t>Fogarty Motors</t>
  </si>
  <si>
    <t>17812</t>
  </si>
  <si>
    <t>J340</t>
  </si>
  <si>
    <t>J407</t>
  </si>
  <si>
    <t>Garry High School Board</t>
  </si>
  <si>
    <t>H8020</t>
  </si>
  <si>
    <t>17813</t>
  </si>
  <si>
    <t>J341</t>
  </si>
  <si>
    <t>H7020</t>
  </si>
  <si>
    <t>27842</t>
  </si>
  <si>
    <t>J408</t>
  </si>
  <si>
    <t>H7030</t>
  </si>
  <si>
    <t>Gigi's Pasta &amp; Pizza</t>
  </si>
  <si>
    <t>27803</t>
  </si>
  <si>
    <t>J74</t>
  </si>
  <si>
    <t>H2510</t>
  </si>
  <si>
    <t>J416</t>
  </si>
  <si>
    <t>Hannah's Import Inc.</t>
  </si>
  <si>
    <t>27798</t>
  </si>
  <si>
    <t>J34</t>
  </si>
  <si>
    <t>27812</t>
  </si>
  <si>
    <t>J132</t>
  </si>
  <si>
    <t>International Oil</t>
  </si>
  <si>
    <t>27799</t>
  </si>
  <si>
    <t>J35</t>
  </si>
  <si>
    <t>27819</t>
  </si>
  <si>
    <t>J184</t>
  </si>
  <si>
    <t>17816</t>
  </si>
  <si>
    <t>J348</t>
  </si>
  <si>
    <t>27838</t>
  </si>
  <si>
    <t>J360</t>
  </si>
  <si>
    <t>27843</t>
  </si>
  <si>
    <t>J414</t>
  </si>
  <si>
    <t>27853</t>
  </si>
  <si>
    <t>J487</t>
  </si>
  <si>
    <t>Jordan Lighting Corp.</t>
  </si>
  <si>
    <t>27805</t>
  </si>
  <si>
    <t>J76</t>
  </si>
  <si>
    <t>27846</t>
  </si>
  <si>
    <t>J417</t>
  </si>
  <si>
    <t>J422</t>
  </si>
  <si>
    <t>CN-2</t>
  </si>
  <si>
    <t>J522</t>
  </si>
  <si>
    <t>Kent Industries Inc.</t>
  </si>
  <si>
    <t>27793</t>
  </si>
  <si>
    <t>J5</t>
  </si>
  <si>
    <t>27835</t>
  </si>
  <si>
    <t>J356</t>
  </si>
  <si>
    <t>Lowland Brewery Inc.</t>
  </si>
  <si>
    <t>27794</t>
  </si>
  <si>
    <t>J6</t>
  </si>
  <si>
    <t>H4010</t>
  </si>
  <si>
    <t>27806</t>
  </si>
  <si>
    <t>J77</t>
  </si>
  <si>
    <t>J342</t>
  </si>
  <si>
    <t>J409</t>
  </si>
  <si>
    <t>27847</t>
  </si>
  <si>
    <t>J476</t>
  </si>
  <si>
    <t>Mainline Rail Ltd.</t>
  </si>
  <si>
    <t>27809</t>
  </si>
  <si>
    <t>J79</t>
  </si>
  <si>
    <t>27813</t>
  </si>
  <si>
    <t>J134</t>
  </si>
  <si>
    <t>27851</t>
  </si>
  <si>
    <t>J481</t>
  </si>
  <si>
    <t>New Look Exteriors</t>
  </si>
  <si>
    <t>27808</t>
  </si>
  <si>
    <t>J78</t>
  </si>
  <si>
    <t>Ocean View Apartments</t>
  </si>
  <si>
    <t>27795</t>
  </si>
  <si>
    <t>J7</t>
  </si>
  <si>
    <t>27831</t>
  </si>
  <si>
    <t>J283</t>
  </si>
  <si>
    <t>17815</t>
  </si>
  <si>
    <t>J343</t>
  </si>
  <si>
    <t>27852</t>
  </si>
  <si>
    <t>J482</t>
  </si>
  <si>
    <t>DO-1</t>
  </si>
  <si>
    <t>J507</t>
  </si>
  <si>
    <t>CN-1</t>
  </si>
  <si>
    <t>J521</t>
  </si>
  <si>
    <t>Osborne Packaging</t>
  </si>
  <si>
    <t>27811</t>
  </si>
  <si>
    <t>J131</t>
  </si>
  <si>
    <t>Paramount NW Production (US)</t>
  </si>
  <si>
    <t>27814</t>
  </si>
  <si>
    <t>J135</t>
  </si>
  <si>
    <t>J423</t>
  </si>
  <si>
    <t>SH1020</t>
  </si>
  <si>
    <t>DO-3</t>
  </si>
  <si>
    <t>J509</t>
  </si>
  <si>
    <t>DN-2</t>
  </si>
  <si>
    <t>J524</t>
  </si>
  <si>
    <t>Richmond Optical</t>
  </si>
  <si>
    <t>27832</t>
  </si>
  <si>
    <t>J285</t>
  </si>
  <si>
    <t>Travelways Inc.</t>
  </si>
  <si>
    <t>27824</t>
  </si>
  <si>
    <t>J231</t>
  </si>
  <si>
    <t>Generated On: Jul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</si>
</sst>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\ ;\(#,##0.0000\)"/>
    <numFmt numFmtId="166" formatCode="#,##0.00\ ;\(#,##0.00\)"/>
  </numFmts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4"/>
      <color rgb="FF0000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quotePrefix="1" applyNumberFormat="1" applyFont="1" applyAlignment="1">
      <alignment horizontal="left"/>
    </xf>
    <xf numFmtId="0" fontId="2" fillId="0" borderId="0" xfId="0" quotePrefix="1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quotePrefix="1" applyNumberFormat="1" applyFont="1" applyAlignment="1">
      <alignment horizontal="left"/>
    </xf>
    <xf numFmtId="0" fontId="3" fillId="0" borderId="1" xfId="0" quotePrefix="1" applyNumberFormat="1" applyFont="1" applyBorder="1" applyAlignment="1">
      <alignment horizontal="left"/>
    </xf>
    <xf numFmtId="0" fontId="3" fillId="0" borderId="1" xfId="0" quotePrefix="1" applyNumberFormat="1" applyFont="1" applyBorder="1" applyAlignment="1">
      <alignment horizontal="right"/>
    </xf>
    <xf numFmtId="0" fontId="4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5" fillId="0" borderId="0" xfId="0" applyNumberFormat="1" applyFont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0" fontId="6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1BD7-7359-496C-9A4D-85110146414D}">
  <dimension ref="A1:K253"/>
  <sheetViews>
    <sheetView showGridLines="0" tabSelected="1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31.5703125" bestFit="1" customWidth="1"/>
    <col min="2" max="2" width="10.28515625" bestFit="1" customWidth="1"/>
    <col min="3" max="3" width="6.42578125" bestFit="1" customWidth="1"/>
    <col min="4" max="4" width="6" bestFit="1" customWidth="1"/>
    <col min="5" max="5" width="4.28515625" bestFit="1" customWidth="1"/>
    <col min="6" max="6" width="9.140625" bestFit="1" customWidth="1"/>
    <col min="7" max="7" width="6.85546875" bestFit="1" customWidth="1"/>
    <col min="8" max="8" width="9.140625" bestFit="1" customWidth="1"/>
    <col min="9" max="10" width="8.28515625" bestFit="1" customWidth="1"/>
    <col min="11" max="11" width="7.42578125" bestFit="1" customWidth="1"/>
  </cols>
  <sheetData>
    <row r="1" spans="1:11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/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spans="1:11" x14ac:dyDescent="0.25">
      <c r="A5" s="7" t="s">
        <v>13</v>
      </c>
    </row>
    <row r="6" spans="1:11" x14ac:dyDescent="0.25">
      <c r="A6" s="3"/>
      <c r="B6" s="8">
        <v>45604</v>
      </c>
      <c r="C6" s="4" t="s">
        <v>14</v>
      </c>
      <c r="D6" s="4" t="s">
        <v>15</v>
      </c>
      <c r="E6" s="4" t="s">
        <v>16</v>
      </c>
      <c r="F6" s="9">
        <v>1000</v>
      </c>
      <c r="G6" s="4" t="s">
        <v>17</v>
      </c>
      <c r="H6" s="10">
        <v>30000</v>
      </c>
      <c r="I6" s="10">
        <v>3711.8</v>
      </c>
      <c r="J6" s="10">
        <v>26288.2</v>
      </c>
      <c r="K6" s="10">
        <f>IF(H6 = 0, 0, 100 * (H6 - I6) / H6)</f>
        <v>87.62733333333334</v>
      </c>
    </row>
    <row r="7" spans="1:11" x14ac:dyDescent="0.25">
      <c r="A7" s="3"/>
      <c r="B7" s="8">
        <v>45604</v>
      </c>
      <c r="C7" s="4" t="s">
        <v>18</v>
      </c>
      <c r="D7" s="4" t="s">
        <v>15</v>
      </c>
      <c r="E7" s="4" t="s">
        <v>16</v>
      </c>
      <c r="F7" s="9">
        <v>400</v>
      </c>
      <c r="G7" s="4" t="s">
        <v>19</v>
      </c>
      <c r="H7" s="10">
        <v>1200</v>
      </c>
      <c r="I7" s="10">
        <v>801.08</v>
      </c>
      <c r="J7" s="10">
        <v>398.92</v>
      </c>
      <c r="K7" s="10">
        <f>IF(H7 = 0, 0, 100 * (H7 - I7) / H7)</f>
        <v>33.243333333333325</v>
      </c>
    </row>
    <row r="8" spans="1:11" x14ac:dyDescent="0.25">
      <c r="A8" s="3"/>
      <c r="B8" s="8">
        <v>45604</v>
      </c>
      <c r="C8" s="4" t="s">
        <v>20</v>
      </c>
      <c r="D8" s="4" t="s">
        <v>15</v>
      </c>
      <c r="E8" s="4" t="s">
        <v>16</v>
      </c>
      <c r="F8" s="9">
        <v>70</v>
      </c>
      <c r="G8" s="4" t="s">
        <v>21</v>
      </c>
      <c r="H8" s="11">
        <v>1960</v>
      </c>
      <c r="I8" s="11">
        <v>653.1</v>
      </c>
      <c r="J8" s="11">
        <v>1306.9000000000001</v>
      </c>
      <c r="K8" s="10">
        <f>IF(H8 = 0, 0, 100 * (H8 - I8) / H8)</f>
        <v>66.678571428571431</v>
      </c>
    </row>
    <row r="10" spans="1:11" ht="15.75" thickBot="1" x14ac:dyDescent="0.3">
      <c r="A10" s="3"/>
      <c r="B10" s="3"/>
      <c r="C10" s="3"/>
      <c r="D10" s="3"/>
      <c r="E10" s="3"/>
      <c r="F10" s="3"/>
      <c r="G10" s="3"/>
      <c r="H10" s="12">
        <f>SUBTOTAL(9,H6:H8)</f>
        <v>33160</v>
      </c>
      <c r="I10" s="12">
        <f>SUBTOTAL(9,I6:I8)</f>
        <v>5165.9800000000005</v>
      </c>
      <c r="J10" s="12">
        <f>SUBTOTAL(9,J6:J8)</f>
        <v>27994.02</v>
      </c>
    </row>
    <row r="11" spans="1:11" ht="15.75" thickTop="1" x14ac:dyDescent="0.25"/>
    <row r="12" spans="1:11" x14ac:dyDescent="0.25">
      <c r="A12" s="7" t="s">
        <v>22</v>
      </c>
    </row>
    <row r="13" spans="1:11" x14ac:dyDescent="0.25">
      <c r="A13" s="3"/>
      <c r="B13" s="8">
        <v>45613</v>
      </c>
      <c r="C13" s="4" t="s">
        <v>23</v>
      </c>
      <c r="D13" s="4" t="s">
        <v>24</v>
      </c>
      <c r="E13" s="4" t="s">
        <v>25</v>
      </c>
      <c r="F13" s="9">
        <v>2500</v>
      </c>
      <c r="G13" s="4" t="s">
        <v>17</v>
      </c>
      <c r="H13" s="10">
        <v>13125</v>
      </c>
      <c r="I13" s="10">
        <v>1638.9</v>
      </c>
      <c r="J13" s="10">
        <v>11486.1</v>
      </c>
      <c r="K13" s="10">
        <f>IF(H13 = 0, 0, 100 * (H13 - I13) / H13)</f>
        <v>87.513142857142853</v>
      </c>
    </row>
    <row r="14" spans="1:11" x14ac:dyDescent="0.25">
      <c r="A14" s="3"/>
      <c r="B14" s="8">
        <v>45613</v>
      </c>
      <c r="C14" s="4" t="s">
        <v>26</v>
      </c>
      <c r="D14" s="4" t="s">
        <v>24</v>
      </c>
      <c r="E14" s="4" t="s">
        <v>25</v>
      </c>
      <c r="F14" s="9">
        <v>0</v>
      </c>
      <c r="G14" s="3"/>
      <c r="H14" s="11">
        <v>145</v>
      </c>
      <c r="I14" s="11">
        <v>0</v>
      </c>
      <c r="J14" s="11">
        <v>145</v>
      </c>
      <c r="K14" s="10">
        <f>IF(H14 = 0, 0, 100 * (H14 - I14) / H14)</f>
        <v>100</v>
      </c>
    </row>
    <row r="16" spans="1:11" ht="15.75" thickBot="1" x14ac:dyDescent="0.3">
      <c r="A16" s="3"/>
      <c r="B16" s="3"/>
      <c r="C16" s="3"/>
      <c r="D16" s="3"/>
      <c r="E16" s="3"/>
      <c r="F16" s="3"/>
      <c r="G16" s="3"/>
      <c r="H16" s="12">
        <f>SUBTOTAL(9,H13:H14)</f>
        <v>13270</v>
      </c>
      <c r="I16" s="12">
        <f>SUBTOTAL(9,I13:I14)</f>
        <v>1638.9</v>
      </c>
      <c r="J16" s="12">
        <f>SUBTOTAL(9,J13:J14)</f>
        <v>11631.1</v>
      </c>
    </row>
    <row r="17" spans="1:11" ht="15.75" thickTop="1" x14ac:dyDescent="0.25"/>
    <row r="18" spans="1:11" x14ac:dyDescent="0.25">
      <c r="A18" s="7" t="s">
        <v>27</v>
      </c>
    </row>
    <row r="19" spans="1:11" x14ac:dyDescent="0.25">
      <c r="A19" s="3"/>
      <c r="B19" s="8">
        <v>45651</v>
      </c>
      <c r="C19" s="4" t="s">
        <v>28</v>
      </c>
      <c r="D19" s="4" t="s">
        <v>29</v>
      </c>
      <c r="E19" s="4" t="s">
        <v>30</v>
      </c>
      <c r="F19" s="9">
        <v>400</v>
      </c>
      <c r="G19" s="4" t="s">
        <v>31</v>
      </c>
      <c r="H19" s="10">
        <v>1800</v>
      </c>
      <c r="I19" s="10">
        <v>392</v>
      </c>
      <c r="J19" s="10">
        <v>1408</v>
      </c>
      <c r="K19" s="10">
        <f>IF(H19 = 0, 0, 100 * (H19 - I19) / H19)</f>
        <v>78.222222222222229</v>
      </c>
    </row>
    <row r="20" spans="1:11" x14ac:dyDescent="0.25">
      <c r="A20" s="3"/>
      <c r="B20" s="8">
        <v>45651</v>
      </c>
      <c r="C20" s="4" t="s">
        <v>32</v>
      </c>
      <c r="D20" s="4" t="s">
        <v>29</v>
      </c>
      <c r="E20" s="4" t="s">
        <v>30</v>
      </c>
      <c r="F20" s="9">
        <v>87.5</v>
      </c>
      <c r="G20" s="4" t="s">
        <v>33</v>
      </c>
      <c r="H20" s="10">
        <v>2835</v>
      </c>
      <c r="I20" s="10">
        <v>425.99</v>
      </c>
      <c r="J20" s="10">
        <v>2409.0100000000002</v>
      </c>
      <c r="K20" s="10">
        <f>IF(H20 = 0, 0, 100 * (H20 - I20) / H20)</f>
        <v>84.973897707231046</v>
      </c>
    </row>
    <row r="21" spans="1:11" x14ac:dyDescent="0.25">
      <c r="A21" s="3"/>
      <c r="B21" s="8">
        <v>45651</v>
      </c>
      <c r="C21" s="4" t="s">
        <v>34</v>
      </c>
      <c r="D21" s="4" t="s">
        <v>29</v>
      </c>
      <c r="E21" s="4" t="s">
        <v>30</v>
      </c>
      <c r="F21" s="9">
        <v>35</v>
      </c>
      <c r="G21" s="4" t="s">
        <v>21</v>
      </c>
      <c r="H21" s="10">
        <v>283.5</v>
      </c>
      <c r="I21" s="10">
        <v>145.31</v>
      </c>
      <c r="J21" s="10">
        <v>138.19</v>
      </c>
      <c r="K21" s="10">
        <f>IF(H21 = 0, 0, 100 * (H21 - I21) / H21)</f>
        <v>48.744268077601411</v>
      </c>
    </row>
    <row r="22" spans="1:11" x14ac:dyDescent="0.25">
      <c r="A22" s="3"/>
      <c r="B22" s="8">
        <v>45651</v>
      </c>
      <c r="C22" s="4" t="s">
        <v>26</v>
      </c>
      <c r="D22" s="4" t="s">
        <v>29</v>
      </c>
      <c r="E22" s="4" t="s">
        <v>30</v>
      </c>
      <c r="F22" s="9">
        <v>0</v>
      </c>
      <c r="G22" s="3"/>
      <c r="H22" s="10">
        <v>75</v>
      </c>
      <c r="I22" s="10">
        <v>0</v>
      </c>
      <c r="J22" s="10">
        <v>75</v>
      </c>
      <c r="K22" s="10">
        <f>IF(H22 = 0, 0, 100 * (H22 - I22) / H22)</f>
        <v>100</v>
      </c>
    </row>
    <row r="23" spans="1:11" x14ac:dyDescent="0.25">
      <c r="A23" s="3"/>
      <c r="B23" s="8">
        <v>45666</v>
      </c>
      <c r="C23" s="4" t="s">
        <v>35</v>
      </c>
      <c r="D23" s="4" t="s">
        <v>36</v>
      </c>
      <c r="E23" s="4" t="s">
        <v>37</v>
      </c>
      <c r="F23" s="9">
        <v>42</v>
      </c>
      <c r="G23" s="4" t="s">
        <v>17</v>
      </c>
      <c r="H23" s="10">
        <v>12600</v>
      </c>
      <c r="I23" s="10">
        <v>9699.4</v>
      </c>
      <c r="J23" s="10">
        <v>2900.6</v>
      </c>
      <c r="K23" s="10">
        <f>IF(H23 = 0, 0, 100 * (H23 - I23) / H23)</f>
        <v>23.020634920634926</v>
      </c>
    </row>
    <row r="24" spans="1:11" x14ac:dyDescent="0.25">
      <c r="A24" s="3"/>
      <c r="B24" s="8">
        <v>45666</v>
      </c>
      <c r="C24" s="4" t="s">
        <v>38</v>
      </c>
      <c r="D24" s="4" t="s">
        <v>36</v>
      </c>
      <c r="E24" s="4" t="s">
        <v>37</v>
      </c>
      <c r="F24" s="9">
        <v>750</v>
      </c>
      <c r="G24" s="4" t="s">
        <v>17</v>
      </c>
      <c r="H24" s="10">
        <v>33750</v>
      </c>
      <c r="I24" s="10">
        <v>3236.18</v>
      </c>
      <c r="J24" s="10">
        <v>30513.82</v>
      </c>
      <c r="K24" s="10">
        <f>IF(H24 = 0, 0, 100 * (H24 - I24) / H24)</f>
        <v>90.411318518518513</v>
      </c>
    </row>
    <row r="25" spans="1:11" x14ac:dyDescent="0.25">
      <c r="A25" s="3"/>
      <c r="B25" s="8">
        <v>45705</v>
      </c>
      <c r="C25" s="4" t="s">
        <v>39</v>
      </c>
      <c r="D25" s="4" t="s">
        <v>40</v>
      </c>
      <c r="E25" s="4" t="s">
        <v>41</v>
      </c>
      <c r="F25" s="9">
        <v>100</v>
      </c>
      <c r="G25" s="4" t="s">
        <v>21</v>
      </c>
      <c r="H25" s="10">
        <v>1190</v>
      </c>
      <c r="I25" s="10">
        <v>640.92999999999995</v>
      </c>
      <c r="J25" s="10">
        <v>549.07000000000005</v>
      </c>
      <c r="K25" s="10">
        <f>IF(H25 = 0, 0, 100 * (H25 - I25) / H25)</f>
        <v>46.14033613445379</v>
      </c>
    </row>
    <row r="26" spans="1:11" x14ac:dyDescent="0.25">
      <c r="A26" s="3"/>
      <c r="B26" s="8">
        <v>45705</v>
      </c>
      <c r="C26" s="4" t="s">
        <v>42</v>
      </c>
      <c r="D26" s="4" t="s">
        <v>40</v>
      </c>
      <c r="E26" s="4" t="s">
        <v>41</v>
      </c>
      <c r="F26" s="9">
        <v>2600</v>
      </c>
      <c r="G26" s="4" t="s">
        <v>43</v>
      </c>
      <c r="H26" s="10">
        <v>5486</v>
      </c>
      <c r="I26" s="10">
        <v>3588.78</v>
      </c>
      <c r="J26" s="10">
        <v>1897.22</v>
      </c>
      <c r="K26" s="10">
        <f>IF(H26 = 0, 0, 100 * (H26 - I26) / H26)</f>
        <v>34.582938388625585</v>
      </c>
    </row>
    <row r="27" spans="1:11" x14ac:dyDescent="0.25">
      <c r="A27" s="3"/>
      <c r="B27" s="8">
        <v>45705</v>
      </c>
      <c r="C27" s="4" t="s">
        <v>20</v>
      </c>
      <c r="D27" s="4" t="s">
        <v>40</v>
      </c>
      <c r="E27" s="4" t="s">
        <v>41</v>
      </c>
      <c r="F27" s="9">
        <v>170</v>
      </c>
      <c r="G27" s="4" t="s">
        <v>21</v>
      </c>
      <c r="H27" s="11">
        <v>4649.5</v>
      </c>
      <c r="I27" s="11">
        <v>1472.2</v>
      </c>
      <c r="J27" s="11">
        <v>3177.3</v>
      </c>
      <c r="K27" s="10">
        <f>IF(H27 = 0, 0, 100 * (H27 - I27) / H27)</f>
        <v>68.336380255941492</v>
      </c>
    </row>
    <row r="29" spans="1:11" ht="15.75" thickBot="1" x14ac:dyDescent="0.3">
      <c r="A29" s="3"/>
      <c r="B29" s="3"/>
      <c r="C29" s="3"/>
      <c r="D29" s="3"/>
      <c r="E29" s="3"/>
      <c r="F29" s="3"/>
      <c r="G29" s="3"/>
      <c r="H29" s="12">
        <f>SUBTOTAL(9,H19:H27)</f>
        <v>62669</v>
      </c>
      <c r="I29" s="12">
        <f>SUBTOTAL(9,I19:I27)</f>
        <v>19600.79</v>
      </c>
      <c r="J29" s="12">
        <f>SUBTOTAL(9,J19:J27)</f>
        <v>43068.210000000006</v>
      </c>
    </row>
    <row r="30" spans="1:11" ht="15.75" thickTop="1" x14ac:dyDescent="0.25"/>
    <row r="31" spans="1:11" x14ac:dyDescent="0.25">
      <c r="A31" s="7" t="s">
        <v>44</v>
      </c>
    </row>
    <row r="32" spans="1:11" x14ac:dyDescent="0.25">
      <c r="A32" s="3"/>
      <c r="B32" s="8">
        <v>45574</v>
      </c>
      <c r="C32" s="4" t="s">
        <v>45</v>
      </c>
      <c r="D32" s="4" t="s">
        <v>46</v>
      </c>
      <c r="E32" s="4" t="s">
        <v>47</v>
      </c>
      <c r="F32" s="9">
        <v>200</v>
      </c>
      <c r="G32" s="4" t="s">
        <v>48</v>
      </c>
      <c r="H32" s="10">
        <v>1870</v>
      </c>
      <c r="I32" s="10">
        <v>1138</v>
      </c>
      <c r="J32" s="10">
        <v>732</v>
      </c>
      <c r="K32" s="10">
        <f>IF(H32 = 0, 0, 100 * (H32 - I32) / H32)</f>
        <v>39.144385026737964</v>
      </c>
    </row>
    <row r="33" spans="1:11" x14ac:dyDescent="0.25">
      <c r="A33" s="3"/>
      <c r="B33" s="8">
        <v>45574</v>
      </c>
      <c r="C33" s="4" t="s">
        <v>49</v>
      </c>
      <c r="D33" s="4" t="s">
        <v>46</v>
      </c>
      <c r="E33" s="4" t="s">
        <v>47</v>
      </c>
      <c r="F33" s="9">
        <v>170</v>
      </c>
      <c r="G33" s="4" t="s">
        <v>50</v>
      </c>
      <c r="H33" s="10">
        <v>4879</v>
      </c>
      <c r="I33" s="10">
        <v>3092.3</v>
      </c>
      <c r="J33" s="10">
        <v>1786.7</v>
      </c>
      <c r="K33" s="10">
        <f>IF(H33 = 0, 0, 100 * (H33 - I33) / H33)</f>
        <v>36.620209059233446</v>
      </c>
    </row>
    <row r="34" spans="1:11" x14ac:dyDescent="0.25">
      <c r="A34" s="3"/>
      <c r="B34" s="8">
        <v>45574</v>
      </c>
      <c r="C34" s="4" t="s">
        <v>51</v>
      </c>
      <c r="D34" s="4" t="s">
        <v>46</v>
      </c>
      <c r="E34" s="4" t="s">
        <v>47</v>
      </c>
      <c r="F34" s="9">
        <v>20</v>
      </c>
      <c r="G34" s="4" t="s">
        <v>52</v>
      </c>
      <c r="H34" s="10">
        <v>430</v>
      </c>
      <c r="I34" s="10">
        <v>332.24</v>
      </c>
      <c r="J34" s="10">
        <v>97.76</v>
      </c>
      <c r="K34" s="10">
        <f>IF(H34 = 0, 0, 100 * (H34 - I34) / H34)</f>
        <v>22.734883720930231</v>
      </c>
    </row>
    <row r="35" spans="1:11" x14ac:dyDescent="0.25">
      <c r="A35" s="3"/>
      <c r="B35" s="8">
        <v>45641</v>
      </c>
      <c r="C35" s="4" t="s">
        <v>51</v>
      </c>
      <c r="D35" s="4" t="s">
        <v>53</v>
      </c>
      <c r="E35" s="4" t="s">
        <v>54</v>
      </c>
      <c r="F35" s="9">
        <v>180</v>
      </c>
      <c r="G35" s="4" t="s">
        <v>52</v>
      </c>
      <c r="H35" s="10">
        <v>3870</v>
      </c>
      <c r="I35" s="10">
        <v>2990.14</v>
      </c>
      <c r="J35" s="10">
        <v>879.86</v>
      </c>
      <c r="K35" s="10">
        <f>IF(H35 = 0, 0, 100 * (H35 - I35) / H35)</f>
        <v>22.73540051679587</v>
      </c>
    </row>
    <row r="36" spans="1:11" x14ac:dyDescent="0.25">
      <c r="A36" s="3"/>
      <c r="B36" s="8">
        <v>45641</v>
      </c>
      <c r="C36" s="4" t="s">
        <v>14</v>
      </c>
      <c r="D36" s="4" t="s">
        <v>53</v>
      </c>
      <c r="E36" s="4" t="s">
        <v>54</v>
      </c>
      <c r="F36" s="9">
        <v>1000</v>
      </c>
      <c r="G36" s="4" t="s">
        <v>17</v>
      </c>
      <c r="H36" s="11">
        <v>28000</v>
      </c>
      <c r="I36" s="11">
        <v>3711.8</v>
      </c>
      <c r="J36" s="11">
        <v>24288.2</v>
      </c>
      <c r="K36" s="10">
        <f>IF(H36 = 0, 0, 100 * (H36 - I36) / H36)</f>
        <v>86.743571428571428</v>
      </c>
    </row>
    <row r="38" spans="1:11" ht="15.75" thickBot="1" x14ac:dyDescent="0.3">
      <c r="A38" s="3"/>
      <c r="B38" s="3"/>
      <c r="C38" s="3"/>
      <c r="D38" s="3"/>
      <c r="E38" s="3"/>
      <c r="F38" s="3"/>
      <c r="G38" s="3"/>
      <c r="H38" s="12">
        <f>SUBTOTAL(9,H32:H36)</f>
        <v>39049</v>
      </c>
      <c r="I38" s="12">
        <f>SUBTOTAL(9,I32:I36)</f>
        <v>11264.48</v>
      </c>
      <c r="J38" s="12">
        <f>SUBTOTAL(9,J32:J36)</f>
        <v>27784.52</v>
      </c>
    </row>
    <row r="39" spans="1:11" ht="15.75" thickTop="1" x14ac:dyDescent="0.25"/>
    <row r="40" spans="1:11" x14ac:dyDescent="0.25">
      <c r="A40" s="7" t="s">
        <v>55</v>
      </c>
    </row>
    <row r="41" spans="1:11" x14ac:dyDescent="0.25">
      <c r="A41" s="3"/>
      <c r="B41" s="8">
        <v>45704</v>
      </c>
      <c r="C41" s="4" t="s">
        <v>51</v>
      </c>
      <c r="D41" s="4" t="s">
        <v>56</v>
      </c>
      <c r="E41" s="4" t="s">
        <v>57</v>
      </c>
      <c r="F41" s="9">
        <v>500</v>
      </c>
      <c r="G41" s="4" t="s">
        <v>52</v>
      </c>
      <c r="H41" s="10">
        <v>10750</v>
      </c>
      <c r="I41" s="10">
        <v>8317.89</v>
      </c>
      <c r="J41" s="10">
        <v>2432.11</v>
      </c>
      <c r="K41" s="10">
        <f>IF(H41 = 0, 0, 100 * (H41 - I41) / H41)</f>
        <v>22.624279069767447</v>
      </c>
    </row>
    <row r="42" spans="1:11" x14ac:dyDescent="0.25">
      <c r="A42" s="3"/>
      <c r="B42" s="8">
        <v>45704</v>
      </c>
      <c r="C42" s="4" t="s">
        <v>58</v>
      </c>
      <c r="D42" s="4" t="s">
        <v>56</v>
      </c>
      <c r="E42" s="4" t="s">
        <v>57</v>
      </c>
      <c r="F42" s="9">
        <v>200</v>
      </c>
      <c r="G42" s="4" t="s">
        <v>31</v>
      </c>
      <c r="H42" s="10">
        <v>720</v>
      </c>
      <c r="I42" s="10">
        <v>378</v>
      </c>
      <c r="J42" s="10">
        <v>342</v>
      </c>
      <c r="K42" s="10">
        <f>IF(H42 = 0, 0, 100 * (H42 - I42) / H42)</f>
        <v>47.5</v>
      </c>
    </row>
    <row r="43" spans="1:11" x14ac:dyDescent="0.25">
      <c r="A43" s="3"/>
      <c r="B43" s="8">
        <v>45704</v>
      </c>
      <c r="C43" s="4" t="s">
        <v>59</v>
      </c>
      <c r="D43" s="4" t="s">
        <v>56</v>
      </c>
      <c r="E43" s="4" t="s">
        <v>57</v>
      </c>
      <c r="F43" s="9">
        <v>400</v>
      </c>
      <c r="G43" s="4" t="s">
        <v>31</v>
      </c>
      <c r="H43" s="10">
        <v>1940</v>
      </c>
      <c r="I43" s="10">
        <v>1024</v>
      </c>
      <c r="J43" s="10">
        <v>916</v>
      </c>
      <c r="K43" s="10">
        <f>IF(H43 = 0, 0, 100 * (H43 - I43) / H43)</f>
        <v>47.216494845360828</v>
      </c>
    </row>
    <row r="44" spans="1:11" x14ac:dyDescent="0.25">
      <c r="A44" s="3"/>
      <c r="B44" s="8">
        <v>45704</v>
      </c>
      <c r="C44" s="4" t="s">
        <v>60</v>
      </c>
      <c r="D44" s="4" t="s">
        <v>56</v>
      </c>
      <c r="E44" s="4" t="s">
        <v>57</v>
      </c>
      <c r="F44" s="9">
        <v>400</v>
      </c>
      <c r="G44" s="4" t="s">
        <v>31</v>
      </c>
      <c r="H44" s="10">
        <v>1980</v>
      </c>
      <c r="I44" s="10">
        <v>576</v>
      </c>
      <c r="J44" s="10">
        <v>1404</v>
      </c>
      <c r="K44" s="10">
        <f>IF(H44 = 0, 0, 100 * (H44 - I44) / H44)</f>
        <v>70.909090909090907</v>
      </c>
    </row>
    <row r="45" spans="1:11" x14ac:dyDescent="0.25">
      <c r="A45" s="3"/>
      <c r="B45" s="8">
        <v>45704</v>
      </c>
      <c r="C45" s="4" t="s">
        <v>61</v>
      </c>
      <c r="D45" s="4" t="s">
        <v>56</v>
      </c>
      <c r="E45" s="4" t="s">
        <v>57</v>
      </c>
      <c r="F45" s="9">
        <v>300</v>
      </c>
      <c r="G45" s="4" t="s">
        <v>31</v>
      </c>
      <c r="H45" s="10">
        <v>2475</v>
      </c>
      <c r="I45" s="10">
        <v>1338.52</v>
      </c>
      <c r="J45" s="10">
        <v>1136.48</v>
      </c>
      <c r="K45" s="10">
        <f>IF(H45 = 0, 0, 100 * (H45 - I45) / H45)</f>
        <v>45.918383838383839</v>
      </c>
    </row>
    <row r="46" spans="1:11" x14ac:dyDescent="0.25">
      <c r="A46" s="3"/>
      <c r="B46" s="8">
        <v>45704</v>
      </c>
      <c r="C46" s="4" t="s">
        <v>26</v>
      </c>
      <c r="D46" s="4" t="s">
        <v>56</v>
      </c>
      <c r="E46" s="4" t="s">
        <v>57</v>
      </c>
      <c r="F46" s="9">
        <v>0</v>
      </c>
      <c r="G46" s="3"/>
      <c r="H46" s="11">
        <v>220</v>
      </c>
      <c r="I46" s="11">
        <v>0</v>
      </c>
      <c r="J46" s="11">
        <v>220</v>
      </c>
      <c r="K46" s="10">
        <f>IF(H46 = 0, 0, 100 * (H46 - I46) / H46)</f>
        <v>100</v>
      </c>
    </row>
    <row r="48" spans="1:11" ht="15.75" thickBot="1" x14ac:dyDescent="0.3">
      <c r="A48" s="3"/>
      <c r="B48" s="3"/>
      <c r="C48" s="3"/>
      <c r="D48" s="3"/>
      <c r="E48" s="3"/>
      <c r="F48" s="3"/>
      <c r="G48" s="3"/>
      <c r="H48" s="12">
        <f>SUBTOTAL(9,H41:H46)</f>
        <v>18085</v>
      </c>
      <c r="I48" s="12">
        <f>SUBTOTAL(9,I41:I46)</f>
        <v>11634.41</v>
      </c>
      <c r="J48" s="12">
        <f>SUBTOTAL(9,J41:J46)</f>
        <v>6450.59</v>
      </c>
    </row>
    <row r="49" spans="1:11" ht="15.75" thickTop="1" x14ac:dyDescent="0.25"/>
    <row r="50" spans="1:11" x14ac:dyDescent="0.25">
      <c r="A50" s="7" t="s">
        <v>62</v>
      </c>
    </row>
    <row r="51" spans="1:11" x14ac:dyDescent="0.25">
      <c r="A51" s="3"/>
      <c r="B51" s="8">
        <v>45747</v>
      </c>
      <c r="C51" s="4" t="s">
        <v>63</v>
      </c>
      <c r="D51" s="4" t="s">
        <v>64</v>
      </c>
      <c r="E51" s="4" t="s">
        <v>65</v>
      </c>
      <c r="F51" s="9">
        <v>50</v>
      </c>
      <c r="G51" s="4" t="s">
        <v>17</v>
      </c>
      <c r="H51" s="10">
        <v>15000</v>
      </c>
      <c r="I51" s="10">
        <v>8348.16</v>
      </c>
      <c r="J51" s="10">
        <v>6651.84</v>
      </c>
      <c r="K51" s="10">
        <f>IF(H51 = 0, 0, 100 * (H51 - I51) / H51)</f>
        <v>44.345599999999997</v>
      </c>
    </row>
    <row r="52" spans="1:11" x14ac:dyDescent="0.25">
      <c r="A52" s="3"/>
      <c r="B52" s="8">
        <v>45747</v>
      </c>
      <c r="C52" s="4" t="s">
        <v>66</v>
      </c>
      <c r="D52" s="4" t="s">
        <v>64</v>
      </c>
      <c r="E52" s="4" t="s">
        <v>65</v>
      </c>
      <c r="F52" s="9">
        <v>15</v>
      </c>
      <c r="G52" s="4" t="s">
        <v>43</v>
      </c>
      <c r="H52" s="10">
        <v>33.75</v>
      </c>
      <c r="I52" s="10">
        <v>19.149999999999999</v>
      </c>
      <c r="J52" s="10">
        <v>14.6</v>
      </c>
      <c r="K52" s="10">
        <f>IF(H52 = 0, 0, 100 * (H52 - I52) / H52)</f>
        <v>43.259259259259267</v>
      </c>
    </row>
    <row r="53" spans="1:11" x14ac:dyDescent="0.25">
      <c r="A53" s="3"/>
      <c r="B53" s="8">
        <v>45747</v>
      </c>
      <c r="C53" s="4" t="s">
        <v>42</v>
      </c>
      <c r="D53" s="4" t="s">
        <v>64</v>
      </c>
      <c r="E53" s="4" t="s">
        <v>65</v>
      </c>
      <c r="F53" s="9">
        <v>120</v>
      </c>
      <c r="G53" s="4" t="s">
        <v>43</v>
      </c>
      <c r="H53" s="11">
        <v>214.8</v>
      </c>
      <c r="I53" s="11">
        <v>165.64</v>
      </c>
      <c r="J53" s="11">
        <v>49.16</v>
      </c>
      <c r="K53" s="10">
        <f>IF(H53 = 0, 0, 100 * (H53 - I53) / H53)</f>
        <v>22.88640595903167</v>
      </c>
    </row>
    <row r="55" spans="1:11" ht="15.75" thickBot="1" x14ac:dyDescent="0.3">
      <c r="A55" s="3"/>
      <c r="B55" s="3"/>
      <c r="C55" s="3"/>
      <c r="D55" s="3"/>
      <c r="E55" s="3"/>
      <c r="F55" s="3"/>
      <c r="G55" s="3"/>
      <c r="H55" s="12">
        <f>SUBTOTAL(9,H51:H53)</f>
        <v>15248.55</v>
      </c>
      <c r="I55" s="12">
        <f>SUBTOTAL(9,I51:I53)</f>
        <v>8532.9499999999989</v>
      </c>
      <c r="J55" s="12">
        <f>SUBTOTAL(9,J51:J53)</f>
        <v>6715.6</v>
      </c>
    </row>
    <row r="56" spans="1:11" ht="15.75" thickTop="1" x14ac:dyDescent="0.25"/>
    <row r="57" spans="1:11" x14ac:dyDescent="0.25">
      <c r="A57" s="7" t="s">
        <v>67</v>
      </c>
    </row>
    <row r="58" spans="1:11" x14ac:dyDescent="0.25">
      <c r="A58" s="3"/>
      <c r="B58" s="8">
        <v>45638</v>
      </c>
      <c r="C58" s="4" t="s">
        <v>68</v>
      </c>
      <c r="D58" s="4" t="s">
        <v>69</v>
      </c>
      <c r="E58" s="4" t="s">
        <v>70</v>
      </c>
      <c r="F58" s="9">
        <v>500</v>
      </c>
      <c r="G58" s="4" t="s">
        <v>71</v>
      </c>
      <c r="H58" s="10">
        <v>2000</v>
      </c>
      <c r="I58" s="10">
        <v>1014.52</v>
      </c>
      <c r="J58" s="10">
        <v>985.48</v>
      </c>
      <c r="K58" s="10">
        <f>IF(H58 = 0, 0, 100 * (H58 - I58) / H58)</f>
        <v>49.274000000000001</v>
      </c>
    </row>
    <row r="59" spans="1:11" x14ac:dyDescent="0.25">
      <c r="A59" s="3"/>
      <c r="B59" s="8">
        <v>45638</v>
      </c>
      <c r="C59" s="4" t="s">
        <v>72</v>
      </c>
      <c r="D59" s="4" t="s">
        <v>69</v>
      </c>
      <c r="E59" s="4" t="s">
        <v>70</v>
      </c>
      <c r="F59" s="9">
        <v>400</v>
      </c>
      <c r="G59" s="4" t="s">
        <v>21</v>
      </c>
      <c r="H59" s="11">
        <v>9460</v>
      </c>
      <c r="I59" s="11">
        <v>4429.7</v>
      </c>
      <c r="J59" s="11">
        <v>5030.3</v>
      </c>
      <c r="K59" s="10">
        <f>IF(H59 = 0, 0, 100 * (H59 - I59) / H59)</f>
        <v>53.174418604651166</v>
      </c>
    </row>
    <row r="61" spans="1:11" ht="15.75" thickBot="1" x14ac:dyDescent="0.3">
      <c r="A61" s="3"/>
      <c r="B61" s="3"/>
      <c r="C61" s="3"/>
      <c r="D61" s="3"/>
      <c r="E61" s="3"/>
      <c r="F61" s="3"/>
      <c r="G61" s="3"/>
      <c r="H61" s="12">
        <f>SUBTOTAL(9,H58:H59)</f>
        <v>11460</v>
      </c>
      <c r="I61" s="12">
        <f>SUBTOTAL(9,I58:I59)</f>
        <v>5444.2199999999993</v>
      </c>
      <c r="J61" s="12">
        <f>SUBTOTAL(9,J58:J59)</f>
        <v>6015.7800000000007</v>
      </c>
    </row>
    <row r="62" spans="1:11" ht="15.75" thickTop="1" x14ac:dyDescent="0.25"/>
    <row r="63" spans="1:11" x14ac:dyDescent="0.25">
      <c r="A63" s="7" t="s">
        <v>73</v>
      </c>
    </row>
    <row r="64" spans="1:11" x14ac:dyDescent="0.25">
      <c r="A64" s="3"/>
      <c r="B64" s="8">
        <v>45543</v>
      </c>
      <c r="C64" s="4" t="s">
        <v>34</v>
      </c>
      <c r="D64" s="4" t="s">
        <v>74</v>
      </c>
      <c r="E64" s="4" t="s">
        <v>75</v>
      </c>
      <c r="F64" s="9">
        <v>100</v>
      </c>
      <c r="G64" s="4" t="s">
        <v>21</v>
      </c>
      <c r="H64" s="10">
        <v>810</v>
      </c>
      <c r="I64" s="10">
        <v>466.52</v>
      </c>
      <c r="J64" s="10">
        <v>343.48</v>
      </c>
      <c r="K64" s="10">
        <f>IF(H64 = 0, 0, 100 * (H64 - I64) / H64)</f>
        <v>42.404938271604941</v>
      </c>
    </row>
    <row r="65" spans="1:11" x14ac:dyDescent="0.25">
      <c r="A65" s="3"/>
      <c r="B65" s="8">
        <v>45543</v>
      </c>
      <c r="C65" s="4" t="s">
        <v>76</v>
      </c>
      <c r="D65" s="4" t="s">
        <v>74</v>
      </c>
      <c r="E65" s="4" t="s">
        <v>75</v>
      </c>
      <c r="F65" s="9">
        <v>50</v>
      </c>
      <c r="G65" s="4" t="s">
        <v>33</v>
      </c>
      <c r="H65" s="10">
        <v>737.5</v>
      </c>
      <c r="I65" s="10">
        <v>320.47000000000003</v>
      </c>
      <c r="J65" s="10">
        <v>417.03</v>
      </c>
      <c r="K65" s="10">
        <f>IF(H65 = 0, 0, 100 * (H65 - I65) / H65)</f>
        <v>56.546440677966103</v>
      </c>
    </row>
    <row r="66" spans="1:11" x14ac:dyDescent="0.25">
      <c r="A66" s="3"/>
      <c r="B66" s="8">
        <v>45543</v>
      </c>
      <c r="C66" s="4" t="s">
        <v>77</v>
      </c>
      <c r="D66" s="4" t="s">
        <v>74</v>
      </c>
      <c r="E66" s="4" t="s">
        <v>75</v>
      </c>
      <c r="F66" s="9">
        <v>450</v>
      </c>
      <c r="G66" s="4" t="s">
        <v>48</v>
      </c>
      <c r="H66" s="10">
        <v>2025</v>
      </c>
      <c r="I66" s="10">
        <v>159.84</v>
      </c>
      <c r="J66" s="10">
        <v>1865.16</v>
      </c>
      <c r="K66" s="10">
        <f>IF(H66 = 0, 0, 100 * (H66 - I66) / H66)</f>
        <v>92.106666666666669</v>
      </c>
    </row>
    <row r="67" spans="1:11" x14ac:dyDescent="0.25">
      <c r="A67" s="3"/>
      <c r="B67" s="8">
        <v>45543</v>
      </c>
      <c r="C67" s="4" t="s">
        <v>78</v>
      </c>
      <c r="D67" s="4" t="s">
        <v>74</v>
      </c>
      <c r="E67" s="4" t="s">
        <v>75</v>
      </c>
      <c r="F67" s="9">
        <v>1000</v>
      </c>
      <c r="G67" s="4" t="s">
        <v>43</v>
      </c>
      <c r="H67" s="10">
        <v>1700</v>
      </c>
      <c r="I67" s="10">
        <v>539.29999999999995</v>
      </c>
      <c r="J67" s="10">
        <v>1160.7</v>
      </c>
      <c r="K67" s="10">
        <f>IF(H67 = 0, 0, 100 * (H67 - I67) / H67)</f>
        <v>68.276470588235298</v>
      </c>
    </row>
    <row r="68" spans="1:11" x14ac:dyDescent="0.25">
      <c r="A68" s="3"/>
      <c r="B68" s="8">
        <v>45543</v>
      </c>
      <c r="C68" s="4" t="s">
        <v>14</v>
      </c>
      <c r="D68" s="4" t="s">
        <v>74</v>
      </c>
      <c r="E68" s="4" t="s">
        <v>75</v>
      </c>
      <c r="F68" s="9">
        <v>100</v>
      </c>
      <c r="G68" s="4" t="s">
        <v>17</v>
      </c>
      <c r="H68" s="10">
        <v>2500</v>
      </c>
      <c r="I68" s="10">
        <v>371.18</v>
      </c>
      <c r="J68" s="10">
        <v>2128.8200000000002</v>
      </c>
      <c r="K68" s="10">
        <f>IF(H68 = 0, 0, 100 * (H68 - I68) / H68)</f>
        <v>85.152800000000013</v>
      </c>
    </row>
    <row r="69" spans="1:11" x14ac:dyDescent="0.25">
      <c r="A69" s="3"/>
      <c r="B69" s="8">
        <v>45543</v>
      </c>
      <c r="C69" s="4" t="s">
        <v>51</v>
      </c>
      <c r="D69" s="4" t="s">
        <v>74</v>
      </c>
      <c r="E69" s="4" t="s">
        <v>75</v>
      </c>
      <c r="F69" s="9">
        <v>50</v>
      </c>
      <c r="G69" s="4" t="s">
        <v>52</v>
      </c>
      <c r="H69" s="10">
        <v>1075</v>
      </c>
      <c r="I69" s="10">
        <v>830.6</v>
      </c>
      <c r="J69" s="10">
        <v>244.4</v>
      </c>
      <c r="K69" s="10">
        <f>IF(H69 = 0, 0, 100 * (H69 - I69) / H69)</f>
        <v>22.734883720930227</v>
      </c>
    </row>
    <row r="70" spans="1:11" x14ac:dyDescent="0.25">
      <c r="A70" s="3"/>
      <c r="B70" s="8">
        <v>45611</v>
      </c>
      <c r="C70" s="4" t="s">
        <v>14</v>
      </c>
      <c r="D70" s="4" t="s">
        <v>79</v>
      </c>
      <c r="E70" s="4" t="s">
        <v>80</v>
      </c>
      <c r="F70" s="9">
        <v>420</v>
      </c>
      <c r="G70" s="4" t="s">
        <v>17</v>
      </c>
      <c r="H70" s="10">
        <v>10500</v>
      </c>
      <c r="I70" s="10">
        <v>1558.96</v>
      </c>
      <c r="J70" s="10">
        <v>8941.0400000000009</v>
      </c>
      <c r="K70" s="10">
        <f>IF(H70 = 0, 0, 100 * (H70 - I70) / H70)</f>
        <v>85.152761904761917</v>
      </c>
    </row>
    <row r="71" spans="1:11" x14ac:dyDescent="0.25">
      <c r="A71" s="3"/>
      <c r="B71" s="8">
        <v>45723</v>
      </c>
      <c r="C71" s="4" t="s">
        <v>81</v>
      </c>
      <c r="D71" s="4" t="s">
        <v>82</v>
      </c>
      <c r="E71" s="4" t="s">
        <v>83</v>
      </c>
      <c r="F71" s="9">
        <v>500</v>
      </c>
      <c r="G71" s="4" t="s">
        <v>17</v>
      </c>
      <c r="H71" s="10">
        <v>2375</v>
      </c>
      <c r="I71" s="10">
        <v>1195</v>
      </c>
      <c r="J71" s="10">
        <v>1180</v>
      </c>
      <c r="K71" s="10">
        <f>IF(H71 = 0, 0, 100 * (H71 - I71) / H71)</f>
        <v>49.684210526315788</v>
      </c>
    </row>
    <row r="72" spans="1:11" x14ac:dyDescent="0.25">
      <c r="A72" s="3"/>
      <c r="B72" s="8">
        <v>45723</v>
      </c>
      <c r="C72" s="4" t="s">
        <v>51</v>
      </c>
      <c r="D72" s="4" t="s">
        <v>82</v>
      </c>
      <c r="E72" s="4" t="s">
        <v>83</v>
      </c>
      <c r="F72" s="9">
        <v>100</v>
      </c>
      <c r="G72" s="4" t="s">
        <v>52</v>
      </c>
      <c r="H72" s="10">
        <v>2150</v>
      </c>
      <c r="I72" s="10">
        <v>1669.2</v>
      </c>
      <c r="J72" s="10">
        <v>480.8</v>
      </c>
      <c r="K72" s="10">
        <f>IF(H72 = 0, 0, 100 * (H72 - I72) / H72)</f>
        <v>22.362790697674416</v>
      </c>
    </row>
    <row r="73" spans="1:11" x14ac:dyDescent="0.25">
      <c r="A73" s="3"/>
      <c r="B73" s="8">
        <v>45723</v>
      </c>
      <c r="C73" s="4" t="s">
        <v>26</v>
      </c>
      <c r="D73" s="4" t="s">
        <v>82</v>
      </c>
      <c r="E73" s="4" t="s">
        <v>83</v>
      </c>
      <c r="F73" s="9">
        <v>0</v>
      </c>
      <c r="G73" s="3"/>
      <c r="H73" s="11">
        <v>340</v>
      </c>
      <c r="I73" s="11">
        <v>0</v>
      </c>
      <c r="J73" s="11">
        <v>340</v>
      </c>
      <c r="K73" s="10">
        <f>IF(H73 = 0, 0, 100 * (H73 - I73) / H73)</f>
        <v>100</v>
      </c>
    </row>
    <row r="75" spans="1:11" ht="15.75" thickBot="1" x14ac:dyDescent="0.3">
      <c r="A75" s="3"/>
      <c r="B75" s="3"/>
      <c r="C75" s="3"/>
      <c r="D75" s="3"/>
      <c r="E75" s="3"/>
      <c r="F75" s="3"/>
      <c r="G75" s="3"/>
      <c r="H75" s="12">
        <f>SUBTOTAL(9,H64:H73)</f>
        <v>24212.5</v>
      </c>
      <c r="I75" s="12">
        <f>SUBTOTAL(9,I64:I73)</f>
        <v>7111.0700000000006</v>
      </c>
      <c r="J75" s="12">
        <f>SUBTOTAL(9,J64:J73)</f>
        <v>17101.43</v>
      </c>
    </row>
    <row r="76" spans="1:11" ht="15.75" thickTop="1" x14ac:dyDescent="0.25"/>
    <row r="77" spans="1:11" x14ac:dyDescent="0.25">
      <c r="A77" s="7" t="s">
        <v>84</v>
      </c>
    </row>
    <row r="78" spans="1:11" x14ac:dyDescent="0.25">
      <c r="A78" s="3"/>
      <c r="B78" s="8">
        <v>45734</v>
      </c>
      <c r="C78" s="4" t="s">
        <v>85</v>
      </c>
      <c r="D78" s="4" t="s">
        <v>86</v>
      </c>
      <c r="E78" s="4" t="s">
        <v>87</v>
      </c>
      <c r="F78" s="9">
        <v>10</v>
      </c>
      <c r="G78" s="4" t="s">
        <v>88</v>
      </c>
      <c r="H78" s="10">
        <v>2000</v>
      </c>
      <c r="I78" s="10">
        <v>402.52</v>
      </c>
      <c r="J78" s="10">
        <v>1597.48</v>
      </c>
      <c r="K78" s="10">
        <f>IF(H78 = 0, 0, 100 * (H78 - I78) / H78)</f>
        <v>79.873999999999995</v>
      </c>
    </row>
    <row r="79" spans="1:11" x14ac:dyDescent="0.25">
      <c r="A79" s="3"/>
      <c r="B79" s="8">
        <v>45734</v>
      </c>
      <c r="C79" s="4" t="s">
        <v>77</v>
      </c>
      <c r="D79" s="4" t="s">
        <v>86</v>
      </c>
      <c r="E79" s="4" t="s">
        <v>87</v>
      </c>
      <c r="F79" s="9">
        <v>300</v>
      </c>
      <c r="G79" s="4" t="s">
        <v>48</v>
      </c>
      <c r="H79" s="10">
        <v>1350</v>
      </c>
      <c r="I79" s="10">
        <v>96.31</v>
      </c>
      <c r="J79" s="10">
        <v>1253.69</v>
      </c>
      <c r="K79" s="10">
        <f>IF(H79 = 0, 0, 100 * (H79 - I79) / H79)</f>
        <v>92.865925925925922</v>
      </c>
    </row>
    <row r="80" spans="1:11" x14ac:dyDescent="0.25">
      <c r="A80" s="3"/>
      <c r="B80" s="8">
        <v>45747</v>
      </c>
      <c r="C80" s="4" t="s">
        <v>42</v>
      </c>
      <c r="D80" s="4" t="s">
        <v>89</v>
      </c>
      <c r="E80" s="4" t="s">
        <v>90</v>
      </c>
      <c r="F80" s="9">
        <v>50</v>
      </c>
      <c r="G80" s="4" t="s">
        <v>43</v>
      </c>
      <c r="H80" s="11">
        <v>89.5</v>
      </c>
      <c r="I80" s="11">
        <v>69.02</v>
      </c>
      <c r="J80" s="11">
        <v>20.48</v>
      </c>
      <c r="K80" s="10">
        <f>IF(H80 = 0, 0, 100 * (H80 - I80) / H80)</f>
        <v>22.882681564245814</v>
      </c>
    </row>
    <row r="82" spans="1:11" ht="15.75" thickBot="1" x14ac:dyDescent="0.3">
      <c r="A82" s="3"/>
      <c r="B82" s="3"/>
      <c r="C82" s="3"/>
      <c r="D82" s="3"/>
      <c r="E82" s="3"/>
      <c r="F82" s="3"/>
      <c r="G82" s="3"/>
      <c r="H82" s="12">
        <f>SUBTOTAL(9,H78:H80)</f>
        <v>3439.5</v>
      </c>
      <c r="I82" s="12">
        <f>SUBTOTAL(9,I78:I80)</f>
        <v>567.85</v>
      </c>
      <c r="J82" s="12">
        <f>SUBTOTAL(9,J78:J80)</f>
        <v>2871.65</v>
      </c>
    </row>
    <row r="83" spans="1:11" ht="15.75" thickTop="1" x14ac:dyDescent="0.25"/>
    <row r="84" spans="1:11" x14ac:dyDescent="0.25">
      <c r="A84" s="7" t="s">
        <v>91</v>
      </c>
    </row>
    <row r="85" spans="1:11" x14ac:dyDescent="0.25">
      <c r="A85" s="3"/>
      <c r="B85" s="8">
        <v>45686</v>
      </c>
      <c r="C85" s="4" t="s">
        <v>18</v>
      </c>
      <c r="D85" s="4" t="s">
        <v>92</v>
      </c>
      <c r="E85" s="4" t="s">
        <v>93</v>
      </c>
      <c r="F85" s="9">
        <v>5</v>
      </c>
      <c r="G85" s="4" t="s">
        <v>19</v>
      </c>
      <c r="H85" s="10">
        <v>13</v>
      </c>
      <c r="I85" s="10">
        <v>27.75</v>
      </c>
      <c r="J85" s="13">
        <v>-14.75</v>
      </c>
      <c r="K85" s="13">
        <f>IF(H85 = 0, 0, 100 * (H85 - I85) / H85)</f>
        <v>-113.46153846153847</v>
      </c>
    </row>
    <row r="86" spans="1:11" x14ac:dyDescent="0.25">
      <c r="A86" s="3"/>
      <c r="B86" s="8">
        <v>45686</v>
      </c>
      <c r="C86" s="4" t="s">
        <v>78</v>
      </c>
      <c r="D86" s="4" t="s">
        <v>92</v>
      </c>
      <c r="E86" s="4" t="s">
        <v>93</v>
      </c>
      <c r="F86" s="9">
        <v>10</v>
      </c>
      <c r="G86" s="4" t="s">
        <v>43</v>
      </c>
      <c r="H86" s="10">
        <v>17</v>
      </c>
      <c r="I86" s="10">
        <v>4</v>
      </c>
      <c r="J86" s="10">
        <v>13</v>
      </c>
      <c r="K86" s="10">
        <f>IF(H86 = 0, 0, 100 * (H86 - I86) / H86)</f>
        <v>76.470588235294116</v>
      </c>
    </row>
    <row r="87" spans="1:11" x14ac:dyDescent="0.25">
      <c r="A87" s="3"/>
      <c r="B87" s="8">
        <v>45686</v>
      </c>
      <c r="C87" s="4" t="s">
        <v>94</v>
      </c>
      <c r="D87" s="4" t="s">
        <v>92</v>
      </c>
      <c r="E87" s="4" t="s">
        <v>93</v>
      </c>
      <c r="F87" s="9">
        <v>10</v>
      </c>
      <c r="G87" s="4" t="s">
        <v>21</v>
      </c>
      <c r="H87" s="10">
        <v>122.5</v>
      </c>
      <c r="I87" s="10">
        <v>65.38</v>
      </c>
      <c r="J87" s="10">
        <v>57.12</v>
      </c>
      <c r="K87" s="10">
        <f>IF(H87 = 0, 0, 100 * (H87 - I87) / H87)</f>
        <v>46.628571428571426</v>
      </c>
    </row>
    <row r="88" spans="1:11" x14ac:dyDescent="0.25">
      <c r="A88" s="3"/>
      <c r="B88" s="8">
        <v>45716</v>
      </c>
      <c r="C88" s="4" t="s">
        <v>28</v>
      </c>
      <c r="D88" s="4" t="s">
        <v>95</v>
      </c>
      <c r="E88" s="4" t="s">
        <v>96</v>
      </c>
      <c r="F88" s="9">
        <v>10</v>
      </c>
      <c r="G88" s="4" t="s">
        <v>31</v>
      </c>
      <c r="H88" s="10">
        <v>37</v>
      </c>
      <c r="I88" s="10">
        <v>8.8000000000000007</v>
      </c>
      <c r="J88" s="10">
        <v>28.2</v>
      </c>
      <c r="K88" s="10">
        <f>IF(H88 = 0, 0, 100 * (H88 - I88) / H88)</f>
        <v>76.21621621621621</v>
      </c>
    </row>
    <row r="89" spans="1:11" x14ac:dyDescent="0.25">
      <c r="A89" s="3"/>
      <c r="B89" s="8">
        <v>45716</v>
      </c>
      <c r="C89" s="4" t="s">
        <v>97</v>
      </c>
      <c r="D89" s="4" t="s">
        <v>95</v>
      </c>
      <c r="E89" s="4" t="s">
        <v>96</v>
      </c>
      <c r="F89" s="9">
        <v>10</v>
      </c>
      <c r="G89" s="4" t="s">
        <v>21</v>
      </c>
      <c r="H89" s="10">
        <v>112.5</v>
      </c>
      <c r="I89" s="10">
        <v>53.5</v>
      </c>
      <c r="J89" s="10">
        <v>59</v>
      </c>
      <c r="K89" s="10">
        <f>IF(H89 = 0, 0, 100 * (H89 - I89) / H89)</f>
        <v>52.444444444444443</v>
      </c>
    </row>
    <row r="90" spans="1:11" x14ac:dyDescent="0.25">
      <c r="A90" s="3"/>
      <c r="B90" s="8">
        <v>45747</v>
      </c>
      <c r="C90" s="4" t="s">
        <v>78</v>
      </c>
      <c r="D90" s="4" t="s">
        <v>98</v>
      </c>
      <c r="E90" s="4" t="s">
        <v>99</v>
      </c>
      <c r="F90" s="9">
        <v>20</v>
      </c>
      <c r="G90" s="4" t="s">
        <v>43</v>
      </c>
      <c r="H90" s="10">
        <v>34</v>
      </c>
      <c r="I90" s="10">
        <v>8</v>
      </c>
      <c r="J90" s="10">
        <v>26</v>
      </c>
      <c r="K90" s="10">
        <f>IF(H90 = 0, 0, 100 * (H90 - I90) / H90)</f>
        <v>76.470588235294116</v>
      </c>
    </row>
    <row r="91" spans="1:11" x14ac:dyDescent="0.25">
      <c r="A91" s="3"/>
      <c r="B91" s="8">
        <v>45747</v>
      </c>
      <c r="C91" s="4" t="s">
        <v>100</v>
      </c>
      <c r="D91" s="4" t="s">
        <v>98</v>
      </c>
      <c r="E91" s="4" t="s">
        <v>99</v>
      </c>
      <c r="F91" s="9">
        <v>10</v>
      </c>
      <c r="G91" s="4" t="s">
        <v>21</v>
      </c>
      <c r="H91" s="10">
        <v>175</v>
      </c>
      <c r="I91" s="10">
        <v>99.9</v>
      </c>
      <c r="J91" s="10">
        <v>75.099999999999994</v>
      </c>
      <c r="K91" s="10">
        <f>IF(H91 = 0, 0, 100 * (H91 - I91) / H91)</f>
        <v>42.914285714285711</v>
      </c>
    </row>
    <row r="92" spans="1:11" x14ac:dyDescent="0.25">
      <c r="A92" s="3"/>
      <c r="B92" s="8">
        <v>45747</v>
      </c>
      <c r="C92" s="4" t="s">
        <v>39</v>
      </c>
      <c r="D92" s="4" t="s">
        <v>98</v>
      </c>
      <c r="E92" s="4" t="s">
        <v>99</v>
      </c>
      <c r="F92" s="9">
        <v>10</v>
      </c>
      <c r="G92" s="4" t="s">
        <v>21</v>
      </c>
      <c r="H92" s="11">
        <v>119</v>
      </c>
      <c r="I92" s="11">
        <v>64.099999999999994</v>
      </c>
      <c r="J92" s="11">
        <v>54.9</v>
      </c>
      <c r="K92" s="10">
        <f>IF(H92 = 0, 0, 100 * (H92 - I92) / H92)</f>
        <v>46.134453781512612</v>
      </c>
    </row>
    <row r="94" spans="1:11" ht="15.75" thickBot="1" x14ac:dyDescent="0.3">
      <c r="A94" s="3"/>
      <c r="B94" s="3"/>
      <c r="C94" s="3"/>
      <c r="D94" s="3"/>
      <c r="E94" s="3"/>
      <c r="F94" s="3"/>
      <c r="G94" s="3"/>
      <c r="H94" s="12">
        <f>SUBTOTAL(9,H85:H92)</f>
        <v>630</v>
      </c>
      <c r="I94" s="12">
        <f>SUBTOTAL(9,I85:I92)</f>
        <v>331.43000000000006</v>
      </c>
      <c r="J94" s="12">
        <f>SUBTOTAL(9,J85:J92)</f>
        <v>298.57</v>
      </c>
    </row>
    <row r="95" spans="1:11" ht="15.75" thickTop="1" x14ac:dyDescent="0.25"/>
    <row r="96" spans="1:11" x14ac:dyDescent="0.25">
      <c r="A96" s="7" t="s">
        <v>101</v>
      </c>
    </row>
    <row r="97" spans="1:11" x14ac:dyDescent="0.25">
      <c r="A97" s="3"/>
      <c r="B97" s="8">
        <v>45688</v>
      </c>
      <c r="C97" s="4" t="s">
        <v>38</v>
      </c>
      <c r="D97" s="4" t="s">
        <v>102</v>
      </c>
      <c r="E97" s="4" t="s">
        <v>103</v>
      </c>
      <c r="F97" s="9">
        <v>10</v>
      </c>
      <c r="G97" s="4" t="s">
        <v>17</v>
      </c>
      <c r="H97" s="10">
        <v>150</v>
      </c>
      <c r="I97" s="10">
        <v>43.15</v>
      </c>
      <c r="J97" s="10">
        <v>106.85</v>
      </c>
      <c r="K97" s="10">
        <f>IF(H97 = 0, 0, 100 * (H97 - I97) / H97)</f>
        <v>71.233333333333334</v>
      </c>
    </row>
    <row r="98" spans="1:11" x14ac:dyDescent="0.25">
      <c r="A98" s="3"/>
      <c r="B98" s="8">
        <v>45716</v>
      </c>
      <c r="C98" s="4" t="s">
        <v>42</v>
      </c>
      <c r="D98" s="4" t="s">
        <v>82</v>
      </c>
      <c r="E98" s="4" t="s">
        <v>104</v>
      </c>
      <c r="F98" s="9">
        <v>200</v>
      </c>
      <c r="G98" s="4" t="s">
        <v>43</v>
      </c>
      <c r="H98" s="11">
        <v>180</v>
      </c>
      <c r="I98" s="11">
        <v>276.06</v>
      </c>
      <c r="J98" s="14">
        <v>-96.06</v>
      </c>
      <c r="K98" s="13">
        <f>IF(H98 = 0, 0, 100 * (H98 - I98) / H98)</f>
        <v>-53.366666666666667</v>
      </c>
    </row>
    <row r="100" spans="1:11" ht="15.75" thickBot="1" x14ac:dyDescent="0.3">
      <c r="A100" s="3"/>
      <c r="B100" s="3"/>
      <c r="C100" s="3"/>
      <c r="D100" s="3"/>
      <c r="E100" s="3"/>
      <c r="F100" s="3"/>
      <c r="G100" s="3"/>
      <c r="H100" s="12">
        <f>SUBTOTAL(9,H97:H98)</f>
        <v>330</v>
      </c>
      <c r="I100" s="12">
        <f>SUBTOTAL(9,I97:I98)</f>
        <v>319.20999999999998</v>
      </c>
      <c r="J100" s="12">
        <f>SUBTOTAL(9,J97:J98)</f>
        <v>10.789999999999992</v>
      </c>
    </row>
    <row r="101" spans="1:11" ht="15.75" thickTop="1" x14ac:dyDescent="0.25"/>
    <row r="102" spans="1:11" x14ac:dyDescent="0.25">
      <c r="A102" s="7" t="s">
        <v>105</v>
      </c>
    </row>
    <row r="103" spans="1:11" x14ac:dyDescent="0.25">
      <c r="A103" s="3"/>
      <c r="B103" s="8">
        <v>45688</v>
      </c>
      <c r="C103" s="4" t="s">
        <v>106</v>
      </c>
      <c r="D103" s="4" t="s">
        <v>107</v>
      </c>
      <c r="E103" s="4" t="s">
        <v>108</v>
      </c>
      <c r="F103" s="9">
        <v>2.5</v>
      </c>
      <c r="G103" s="4" t="s">
        <v>33</v>
      </c>
      <c r="H103" s="10">
        <v>40</v>
      </c>
      <c r="I103" s="10">
        <v>12.41</v>
      </c>
      <c r="J103" s="10">
        <v>27.59</v>
      </c>
      <c r="K103" s="10">
        <f>IF(H103 = 0, 0, 100 * (H103 - I103) / H103)</f>
        <v>68.974999999999994</v>
      </c>
    </row>
    <row r="104" spans="1:11" x14ac:dyDescent="0.25">
      <c r="A104" s="3"/>
      <c r="B104" s="8">
        <v>45716</v>
      </c>
      <c r="C104" s="4" t="s">
        <v>109</v>
      </c>
      <c r="D104" s="4" t="s">
        <v>110</v>
      </c>
      <c r="E104" s="4" t="s">
        <v>111</v>
      </c>
      <c r="F104" s="9">
        <v>5</v>
      </c>
      <c r="G104" s="4" t="s">
        <v>33</v>
      </c>
      <c r="H104" s="10">
        <v>132</v>
      </c>
      <c r="I104" s="10">
        <v>28.84</v>
      </c>
      <c r="J104" s="10">
        <v>103.16</v>
      </c>
      <c r="K104" s="10">
        <f>IF(H104 = 0, 0, 100 * (H104 - I104) / H104)</f>
        <v>78.151515151515156</v>
      </c>
    </row>
    <row r="105" spans="1:11" x14ac:dyDescent="0.25">
      <c r="A105" s="3"/>
      <c r="B105" s="8">
        <v>45716</v>
      </c>
      <c r="C105" s="4" t="s">
        <v>112</v>
      </c>
      <c r="D105" s="4" t="s">
        <v>110</v>
      </c>
      <c r="E105" s="4" t="s">
        <v>111</v>
      </c>
      <c r="F105" s="9">
        <v>5</v>
      </c>
      <c r="G105" s="4" t="s">
        <v>33</v>
      </c>
      <c r="H105" s="11">
        <v>132</v>
      </c>
      <c r="I105" s="11">
        <v>31.46</v>
      </c>
      <c r="J105" s="11">
        <v>100.54</v>
      </c>
      <c r="K105" s="10">
        <f>IF(H105 = 0, 0, 100 * (H105 - I105) / H105)</f>
        <v>76.166666666666671</v>
      </c>
    </row>
    <row r="107" spans="1:11" ht="15.75" thickBot="1" x14ac:dyDescent="0.3">
      <c r="A107" s="3"/>
      <c r="B107" s="3"/>
      <c r="C107" s="3"/>
      <c r="D107" s="3"/>
      <c r="E107" s="3"/>
      <c r="F107" s="3"/>
      <c r="G107" s="3"/>
      <c r="H107" s="12">
        <f>SUBTOTAL(9,H103:H105)</f>
        <v>304</v>
      </c>
      <c r="I107" s="12">
        <f>SUBTOTAL(9,I103:I105)</f>
        <v>72.710000000000008</v>
      </c>
      <c r="J107" s="12">
        <f>SUBTOTAL(9,J103:J105)</f>
        <v>231.29000000000002</v>
      </c>
    </row>
    <row r="108" spans="1:11" ht="15.75" thickTop="1" x14ac:dyDescent="0.25"/>
    <row r="109" spans="1:11" x14ac:dyDescent="0.25">
      <c r="A109" s="7" t="s">
        <v>113</v>
      </c>
    </row>
    <row r="110" spans="1:11" x14ac:dyDescent="0.25">
      <c r="A110" s="3"/>
      <c r="B110" s="8">
        <v>45540</v>
      </c>
      <c r="C110" s="4" t="s">
        <v>38</v>
      </c>
      <c r="D110" s="4" t="s">
        <v>114</v>
      </c>
      <c r="E110" s="4" t="s">
        <v>115</v>
      </c>
      <c r="F110" s="9">
        <v>100</v>
      </c>
      <c r="G110" s="4" t="s">
        <v>17</v>
      </c>
      <c r="H110" s="10">
        <v>3000</v>
      </c>
      <c r="I110" s="10">
        <v>431.49</v>
      </c>
      <c r="J110" s="10">
        <v>2568.5100000000002</v>
      </c>
      <c r="K110" s="10">
        <f>IF(H110 = 0, 0, 100 * (H110 - I110) / H110)</f>
        <v>85.617000000000004</v>
      </c>
    </row>
    <row r="111" spans="1:11" x14ac:dyDescent="0.25">
      <c r="A111" s="3"/>
      <c r="B111" s="8">
        <v>45540</v>
      </c>
      <c r="C111" s="4" t="s">
        <v>14</v>
      </c>
      <c r="D111" s="4" t="s">
        <v>114</v>
      </c>
      <c r="E111" s="4" t="s">
        <v>115</v>
      </c>
      <c r="F111" s="9">
        <v>200</v>
      </c>
      <c r="G111" s="4" t="s">
        <v>17</v>
      </c>
      <c r="H111" s="10">
        <v>5400</v>
      </c>
      <c r="I111" s="10">
        <v>742.36</v>
      </c>
      <c r="J111" s="10">
        <v>4657.6400000000003</v>
      </c>
      <c r="K111" s="10">
        <f>IF(H111 = 0, 0, 100 * (H111 - I111) / H111)</f>
        <v>86.252592592592606</v>
      </c>
    </row>
    <row r="112" spans="1:11" x14ac:dyDescent="0.25">
      <c r="A112" s="3"/>
      <c r="B112" s="8">
        <v>45540</v>
      </c>
      <c r="C112" s="4" t="s">
        <v>26</v>
      </c>
      <c r="D112" s="4" t="s">
        <v>114</v>
      </c>
      <c r="E112" s="4" t="s">
        <v>115</v>
      </c>
      <c r="F112" s="9">
        <v>0</v>
      </c>
      <c r="G112" s="3"/>
      <c r="H112" s="10">
        <v>350</v>
      </c>
      <c r="I112" s="10">
        <v>0</v>
      </c>
      <c r="J112" s="10">
        <v>350</v>
      </c>
      <c r="K112" s="10">
        <f>IF(H112 = 0, 0, 100 * (H112 - I112) / H112)</f>
        <v>100</v>
      </c>
    </row>
    <row r="113" spans="1:11" x14ac:dyDescent="0.25">
      <c r="A113" s="3"/>
      <c r="B113" s="8">
        <v>45716</v>
      </c>
      <c r="C113" s="4" t="s">
        <v>116</v>
      </c>
      <c r="D113" s="4" t="s">
        <v>86</v>
      </c>
      <c r="E113" s="4" t="s">
        <v>117</v>
      </c>
      <c r="F113" s="9">
        <v>20</v>
      </c>
      <c r="G113" s="4" t="s">
        <v>43</v>
      </c>
      <c r="H113" s="11">
        <v>54.4</v>
      </c>
      <c r="I113" s="11">
        <v>39.200000000000003</v>
      </c>
      <c r="J113" s="11">
        <v>15.2</v>
      </c>
      <c r="K113" s="10">
        <f>IF(H113 = 0, 0, 100 * (H113 - I113) / H113)</f>
        <v>27.941176470588228</v>
      </c>
    </row>
    <row r="115" spans="1:11" ht="15.75" thickBot="1" x14ac:dyDescent="0.3">
      <c r="A115" s="3"/>
      <c r="B115" s="3"/>
      <c r="C115" s="3"/>
      <c r="D115" s="3"/>
      <c r="E115" s="3"/>
      <c r="F115" s="3"/>
      <c r="G115" s="3"/>
      <c r="H115" s="12">
        <f>SUBTOTAL(9,H110:H113)</f>
        <v>8804.4</v>
      </c>
      <c r="I115" s="12">
        <f>SUBTOTAL(9,I110:I113)</f>
        <v>1213.05</v>
      </c>
      <c r="J115" s="12">
        <f>SUBTOTAL(9,J110:J113)</f>
        <v>7591.35</v>
      </c>
    </row>
    <row r="116" spans="1:11" ht="15.75" thickTop="1" x14ac:dyDescent="0.25"/>
    <row r="117" spans="1:11" x14ac:dyDescent="0.25">
      <c r="A117" s="7" t="s">
        <v>118</v>
      </c>
    </row>
    <row r="118" spans="1:11" x14ac:dyDescent="0.25">
      <c r="A118" s="3"/>
      <c r="B118" s="8">
        <v>45506</v>
      </c>
      <c r="C118" s="4" t="s">
        <v>58</v>
      </c>
      <c r="D118" s="4" t="s">
        <v>119</v>
      </c>
      <c r="E118" s="4" t="s">
        <v>120</v>
      </c>
      <c r="F118" s="9">
        <v>250</v>
      </c>
      <c r="G118" s="4" t="s">
        <v>31</v>
      </c>
      <c r="H118" s="10">
        <v>1275</v>
      </c>
      <c r="I118" s="10">
        <v>472.88</v>
      </c>
      <c r="J118" s="10">
        <v>802.12</v>
      </c>
      <c r="K118" s="10">
        <f>IF(H118 = 0, 0, 100 * (H118 - I118) / H118)</f>
        <v>62.91137254901961</v>
      </c>
    </row>
    <row r="119" spans="1:11" x14ac:dyDescent="0.25">
      <c r="A119" s="3"/>
      <c r="B119" s="8">
        <v>45506</v>
      </c>
      <c r="C119" s="4" t="s">
        <v>100</v>
      </c>
      <c r="D119" s="4" t="s">
        <v>119</v>
      </c>
      <c r="E119" s="4" t="s">
        <v>120</v>
      </c>
      <c r="F119" s="9">
        <v>300</v>
      </c>
      <c r="G119" s="4" t="s">
        <v>21</v>
      </c>
      <c r="H119" s="10">
        <v>6000</v>
      </c>
      <c r="I119" s="10">
        <v>3099</v>
      </c>
      <c r="J119" s="10">
        <v>2901</v>
      </c>
      <c r="K119" s="10">
        <f>IF(H119 = 0, 0, 100 * (H119 - I119) / H119)</f>
        <v>48.35</v>
      </c>
    </row>
    <row r="120" spans="1:11" x14ac:dyDescent="0.25">
      <c r="A120" s="3"/>
      <c r="B120" s="8">
        <v>45506</v>
      </c>
      <c r="C120" s="4" t="s">
        <v>20</v>
      </c>
      <c r="D120" s="4" t="s">
        <v>119</v>
      </c>
      <c r="E120" s="4" t="s">
        <v>120</v>
      </c>
      <c r="F120" s="9">
        <v>150</v>
      </c>
      <c r="G120" s="4" t="s">
        <v>21</v>
      </c>
      <c r="H120" s="10">
        <v>4050</v>
      </c>
      <c r="I120" s="10">
        <v>1399.5</v>
      </c>
      <c r="J120" s="10">
        <v>2650.5</v>
      </c>
      <c r="K120" s="10">
        <f>IF(H120 = 0, 0, 100 * (H120 - I120) / H120)</f>
        <v>65.444444444444443</v>
      </c>
    </row>
    <row r="121" spans="1:11" x14ac:dyDescent="0.25">
      <c r="A121" s="3"/>
      <c r="B121" s="8">
        <v>45506</v>
      </c>
      <c r="C121" s="4" t="s">
        <v>77</v>
      </c>
      <c r="D121" s="4" t="s">
        <v>119</v>
      </c>
      <c r="E121" s="4" t="s">
        <v>120</v>
      </c>
      <c r="F121" s="9">
        <v>1000</v>
      </c>
      <c r="G121" s="4" t="s">
        <v>48</v>
      </c>
      <c r="H121" s="10">
        <v>4500</v>
      </c>
      <c r="I121" s="10">
        <v>355.2</v>
      </c>
      <c r="J121" s="10">
        <v>4144.8</v>
      </c>
      <c r="K121" s="10">
        <f>IF(H121 = 0, 0, 100 * (H121 - I121) / H121)</f>
        <v>92.106666666666669</v>
      </c>
    </row>
    <row r="122" spans="1:11" x14ac:dyDescent="0.25">
      <c r="A122" s="3"/>
      <c r="B122" s="8">
        <v>45506</v>
      </c>
      <c r="C122" s="4" t="s">
        <v>38</v>
      </c>
      <c r="D122" s="4" t="s">
        <v>119</v>
      </c>
      <c r="E122" s="4" t="s">
        <v>120</v>
      </c>
      <c r="F122" s="9">
        <v>100</v>
      </c>
      <c r="G122" s="4" t="s">
        <v>17</v>
      </c>
      <c r="H122" s="10">
        <v>3000</v>
      </c>
      <c r="I122" s="10">
        <v>431.49</v>
      </c>
      <c r="J122" s="10">
        <v>2568.5100000000002</v>
      </c>
      <c r="K122" s="10">
        <f>IF(H122 = 0, 0, 100 * (H122 - I122) / H122)</f>
        <v>85.617000000000004</v>
      </c>
    </row>
    <row r="123" spans="1:11" x14ac:dyDescent="0.25">
      <c r="A123" s="3"/>
      <c r="B123" s="8">
        <v>45506</v>
      </c>
      <c r="C123" s="4" t="s">
        <v>14</v>
      </c>
      <c r="D123" s="4" t="s">
        <v>119</v>
      </c>
      <c r="E123" s="4" t="s">
        <v>120</v>
      </c>
      <c r="F123" s="9">
        <v>80</v>
      </c>
      <c r="G123" s="4" t="s">
        <v>17</v>
      </c>
      <c r="H123" s="10">
        <v>2000</v>
      </c>
      <c r="I123" s="10">
        <v>296.94</v>
      </c>
      <c r="J123" s="10">
        <v>1703.06</v>
      </c>
      <c r="K123" s="10">
        <f>IF(H123 = 0, 0, 100 * (H123 - I123) / H123)</f>
        <v>85.153000000000006</v>
      </c>
    </row>
    <row r="124" spans="1:11" x14ac:dyDescent="0.25">
      <c r="A124" s="3"/>
      <c r="B124" s="8">
        <v>45506</v>
      </c>
      <c r="C124" s="4" t="s">
        <v>51</v>
      </c>
      <c r="D124" s="4" t="s">
        <v>119</v>
      </c>
      <c r="E124" s="4" t="s">
        <v>120</v>
      </c>
      <c r="F124" s="9">
        <v>10</v>
      </c>
      <c r="G124" s="4" t="s">
        <v>52</v>
      </c>
      <c r="H124" s="10">
        <v>215</v>
      </c>
      <c r="I124" s="10">
        <v>166.12</v>
      </c>
      <c r="J124" s="10">
        <v>48.88</v>
      </c>
      <c r="K124" s="10">
        <f>IF(H124 = 0, 0, 100 * (H124 - I124) / H124)</f>
        <v>22.734883720930231</v>
      </c>
    </row>
    <row r="125" spans="1:11" x14ac:dyDescent="0.25">
      <c r="A125" s="3"/>
      <c r="B125" s="8">
        <v>45506</v>
      </c>
      <c r="C125" s="4" t="s">
        <v>26</v>
      </c>
      <c r="D125" s="4" t="s">
        <v>119</v>
      </c>
      <c r="E125" s="4" t="s">
        <v>120</v>
      </c>
      <c r="F125" s="9">
        <v>0</v>
      </c>
      <c r="G125" s="3"/>
      <c r="H125" s="10">
        <v>340</v>
      </c>
      <c r="I125" s="10">
        <v>0</v>
      </c>
      <c r="J125" s="10">
        <v>340</v>
      </c>
      <c r="K125" s="10">
        <f>IF(H125 = 0, 0, 100 * (H125 - I125) / H125)</f>
        <v>100</v>
      </c>
    </row>
    <row r="126" spans="1:11" x14ac:dyDescent="0.25">
      <c r="A126" s="3"/>
      <c r="B126" s="8">
        <v>45577</v>
      </c>
      <c r="C126" s="4" t="s">
        <v>78</v>
      </c>
      <c r="D126" s="4" t="s">
        <v>121</v>
      </c>
      <c r="E126" s="4" t="s">
        <v>122</v>
      </c>
      <c r="F126" s="9">
        <v>1000</v>
      </c>
      <c r="G126" s="4" t="s">
        <v>43</v>
      </c>
      <c r="H126" s="10">
        <v>1700</v>
      </c>
      <c r="I126" s="10">
        <v>539.29999999999995</v>
      </c>
      <c r="J126" s="10">
        <v>1160.7</v>
      </c>
      <c r="K126" s="10">
        <f>IF(H126 = 0, 0, 100 * (H126 - I126) / H126)</f>
        <v>68.276470588235298</v>
      </c>
    </row>
    <row r="127" spans="1:11" x14ac:dyDescent="0.25">
      <c r="A127" s="3"/>
      <c r="B127" s="8">
        <v>45577</v>
      </c>
      <c r="C127" s="4" t="s">
        <v>72</v>
      </c>
      <c r="D127" s="4" t="s">
        <v>121</v>
      </c>
      <c r="E127" s="4" t="s">
        <v>122</v>
      </c>
      <c r="F127" s="9">
        <v>100</v>
      </c>
      <c r="G127" s="4" t="s">
        <v>21</v>
      </c>
      <c r="H127" s="10">
        <v>2365</v>
      </c>
      <c r="I127" s="10">
        <v>1133</v>
      </c>
      <c r="J127" s="10">
        <v>1232</v>
      </c>
      <c r="K127" s="10">
        <f>IF(H127 = 0, 0, 100 * (H127 - I127) / H127)</f>
        <v>52.093023255813954</v>
      </c>
    </row>
    <row r="128" spans="1:11" x14ac:dyDescent="0.25">
      <c r="A128" s="3"/>
      <c r="B128" s="8">
        <v>45577</v>
      </c>
      <c r="C128" s="4" t="s">
        <v>76</v>
      </c>
      <c r="D128" s="4" t="s">
        <v>121</v>
      </c>
      <c r="E128" s="4" t="s">
        <v>122</v>
      </c>
      <c r="F128" s="9">
        <v>10</v>
      </c>
      <c r="G128" s="4" t="s">
        <v>33</v>
      </c>
      <c r="H128" s="10">
        <v>147.5</v>
      </c>
      <c r="I128" s="10">
        <v>64.09</v>
      </c>
      <c r="J128" s="10">
        <v>83.41</v>
      </c>
      <c r="K128" s="10">
        <f>IF(H128 = 0, 0, 100 * (H128 - I128) / H128)</f>
        <v>56.54915254237288</v>
      </c>
    </row>
    <row r="129" spans="1:11" x14ac:dyDescent="0.25">
      <c r="A129" s="3"/>
      <c r="B129" s="8">
        <v>45577</v>
      </c>
      <c r="C129" s="4" t="s">
        <v>77</v>
      </c>
      <c r="D129" s="4" t="s">
        <v>121</v>
      </c>
      <c r="E129" s="4" t="s">
        <v>122</v>
      </c>
      <c r="F129" s="9">
        <v>250</v>
      </c>
      <c r="G129" s="4" t="s">
        <v>48</v>
      </c>
      <c r="H129" s="11">
        <v>1125</v>
      </c>
      <c r="I129" s="11">
        <v>88.8</v>
      </c>
      <c r="J129" s="11">
        <v>1036.2</v>
      </c>
      <c r="K129" s="10">
        <f>IF(H129 = 0, 0, 100 * (H129 - I129) / H129)</f>
        <v>92.106666666666669</v>
      </c>
    </row>
    <row r="131" spans="1:11" ht="15.75" thickBot="1" x14ac:dyDescent="0.3">
      <c r="A131" s="3"/>
      <c r="B131" s="3"/>
      <c r="C131" s="3"/>
      <c r="D131" s="3"/>
      <c r="E131" s="3"/>
      <c r="F131" s="3"/>
      <c r="G131" s="3"/>
      <c r="H131" s="12">
        <f>SUBTOTAL(9,H118:H129)</f>
        <v>26717.5</v>
      </c>
      <c r="I131" s="12">
        <f>SUBTOTAL(9,I118:I129)</f>
        <v>8046.32</v>
      </c>
      <c r="J131" s="12">
        <f>SUBTOTAL(9,J118:J129)</f>
        <v>18671.18</v>
      </c>
    </row>
    <row r="132" spans="1:11" ht="15.75" thickTop="1" x14ac:dyDescent="0.25"/>
    <row r="133" spans="1:11" x14ac:dyDescent="0.25">
      <c r="A133" s="7" t="s">
        <v>123</v>
      </c>
    </row>
    <row r="134" spans="1:11" x14ac:dyDescent="0.25">
      <c r="A134" s="3"/>
      <c r="B134" s="8">
        <v>45512</v>
      </c>
      <c r="C134" s="4" t="s">
        <v>116</v>
      </c>
      <c r="D134" s="4" t="s">
        <v>124</v>
      </c>
      <c r="E134" s="4" t="s">
        <v>125</v>
      </c>
      <c r="F134" s="9">
        <v>750</v>
      </c>
      <c r="G134" s="4" t="s">
        <v>43</v>
      </c>
      <c r="H134" s="10">
        <v>2040</v>
      </c>
      <c r="I134" s="10">
        <v>151.19999999999999</v>
      </c>
      <c r="J134" s="10">
        <v>1888.8</v>
      </c>
      <c r="K134" s="10">
        <f>IF(H134 = 0, 0, 100 * (H134 - I134) / H134)</f>
        <v>92.588235294117652</v>
      </c>
    </row>
    <row r="135" spans="1:11" x14ac:dyDescent="0.25">
      <c r="A135" s="3"/>
      <c r="B135" s="8">
        <v>45512</v>
      </c>
      <c r="C135" s="4" t="s">
        <v>23</v>
      </c>
      <c r="D135" s="4" t="s">
        <v>124</v>
      </c>
      <c r="E135" s="4" t="s">
        <v>125</v>
      </c>
      <c r="F135" s="9">
        <v>1500</v>
      </c>
      <c r="G135" s="4" t="s">
        <v>17</v>
      </c>
      <c r="H135" s="10">
        <v>6750</v>
      </c>
      <c r="I135" s="10">
        <v>391.95</v>
      </c>
      <c r="J135" s="10">
        <v>6358.05</v>
      </c>
      <c r="K135" s="10">
        <f>IF(H135 = 0, 0, 100 * (H135 - I135) / H135)</f>
        <v>94.193333333333328</v>
      </c>
    </row>
    <row r="136" spans="1:11" x14ac:dyDescent="0.25">
      <c r="A136" s="3"/>
      <c r="B136" s="8">
        <v>45605</v>
      </c>
      <c r="C136" s="4" t="s">
        <v>51</v>
      </c>
      <c r="D136" s="4" t="s">
        <v>126</v>
      </c>
      <c r="E136" s="4" t="s">
        <v>127</v>
      </c>
      <c r="F136" s="9">
        <v>80</v>
      </c>
      <c r="G136" s="4" t="s">
        <v>52</v>
      </c>
      <c r="H136" s="10">
        <v>1720</v>
      </c>
      <c r="I136" s="10">
        <v>1328.95</v>
      </c>
      <c r="J136" s="10">
        <v>391.05</v>
      </c>
      <c r="K136" s="10">
        <f>IF(H136 = 0, 0, 100 * (H136 - I136) / H136)</f>
        <v>22.735465116279066</v>
      </c>
    </row>
    <row r="137" spans="1:11" x14ac:dyDescent="0.25">
      <c r="A137" s="3"/>
      <c r="B137" s="8">
        <v>45605</v>
      </c>
      <c r="C137" s="4" t="s">
        <v>78</v>
      </c>
      <c r="D137" s="4" t="s">
        <v>126</v>
      </c>
      <c r="E137" s="4" t="s">
        <v>127</v>
      </c>
      <c r="F137" s="9">
        <v>500</v>
      </c>
      <c r="G137" s="4" t="s">
        <v>43</v>
      </c>
      <c r="H137" s="10">
        <v>1055</v>
      </c>
      <c r="I137" s="10">
        <v>610</v>
      </c>
      <c r="J137" s="10">
        <v>445</v>
      </c>
      <c r="K137" s="10">
        <f>IF(H137 = 0, 0, 100 * (H137 - I137) / H137)</f>
        <v>42.18009478672986</v>
      </c>
    </row>
    <row r="138" spans="1:11" x14ac:dyDescent="0.25">
      <c r="A138" s="3"/>
      <c r="B138" s="8">
        <v>45605</v>
      </c>
      <c r="C138" s="4" t="s">
        <v>76</v>
      </c>
      <c r="D138" s="4" t="s">
        <v>126</v>
      </c>
      <c r="E138" s="4" t="s">
        <v>127</v>
      </c>
      <c r="F138" s="9">
        <v>80</v>
      </c>
      <c r="G138" s="4" t="s">
        <v>33</v>
      </c>
      <c r="H138" s="10">
        <v>12840</v>
      </c>
      <c r="I138" s="10">
        <v>512.75</v>
      </c>
      <c r="J138" s="10">
        <v>12327.25</v>
      </c>
      <c r="K138" s="10">
        <f>IF(H138 = 0, 0, 100 * (H138 - I138) / H138)</f>
        <v>96.006619937694708</v>
      </c>
    </row>
    <row r="139" spans="1:11" x14ac:dyDescent="0.25">
      <c r="A139" s="3"/>
      <c r="B139" s="8">
        <v>45605</v>
      </c>
      <c r="C139" s="4" t="s">
        <v>77</v>
      </c>
      <c r="D139" s="4" t="s">
        <v>126</v>
      </c>
      <c r="E139" s="4" t="s">
        <v>127</v>
      </c>
      <c r="F139" s="9">
        <v>2000</v>
      </c>
      <c r="G139" s="4" t="s">
        <v>48</v>
      </c>
      <c r="H139" s="10">
        <v>11000</v>
      </c>
      <c r="I139" s="10">
        <v>646.28</v>
      </c>
      <c r="J139" s="10">
        <v>10353.719999999999</v>
      </c>
      <c r="K139" s="10">
        <f>IF(H139 = 0, 0, 100 * (H139 - I139) / H139)</f>
        <v>94.124727272727256</v>
      </c>
    </row>
    <row r="140" spans="1:11" x14ac:dyDescent="0.25">
      <c r="A140" s="3"/>
      <c r="B140" s="8">
        <v>45683</v>
      </c>
      <c r="C140" s="4" t="s">
        <v>116</v>
      </c>
      <c r="D140" s="4" t="s">
        <v>128</v>
      </c>
      <c r="E140" s="4" t="s">
        <v>129</v>
      </c>
      <c r="F140" s="9">
        <v>20</v>
      </c>
      <c r="G140" s="4" t="s">
        <v>43</v>
      </c>
      <c r="H140" s="10">
        <v>54.4</v>
      </c>
      <c r="I140" s="10">
        <v>39.200000000000003</v>
      </c>
      <c r="J140" s="10">
        <v>15.2</v>
      </c>
      <c r="K140" s="10">
        <f>IF(H140 = 0, 0, 100 * (H140 - I140) / H140)</f>
        <v>27.941176470588228</v>
      </c>
    </row>
    <row r="141" spans="1:11" x14ac:dyDescent="0.25">
      <c r="A141" s="3"/>
      <c r="B141" s="8">
        <v>45683</v>
      </c>
      <c r="C141" s="4" t="s">
        <v>42</v>
      </c>
      <c r="D141" s="4" t="s">
        <v>128</v>
      </c>
      <c r="E141" s="4" t="s">
        <v>129</v>
      </c>
      <c r="F141" s="9">
        <v>20</v>
      </c>
      <c r="G141" s="4" t="s">
        <v>43</v>
      </c>
      <c r="H141" s="10">
        <v>35.799999999999997</v>
      </c>
      <c r="I141" s="10">
        <v>25.8</v>
      </c>
      <c r="J141" s="10">
        <v>10</v>
      </c>
      <c r="K141" s="10">
        <f>IF(H141 = 0, 0, 100 * (H141 - I141) / H141)</f>
        <v>27.932960893854741</v>
      </c>
    </row>
    <row r="142" spans="1:11" x14ac:dyDescent="0.25">
      <c r="A142" s="3"/>
      <c r="B142" s="8">
        <v>45709</v>
      </c>
      <c r="C142" s="4" t="s">
        <v>14</v>
      </c>
      <c r="D142" s="4" t="s">
        <v>130</v>
      </c>
      <c r="E142" s="4" t="s">
        <v>131</v>
      </c>
      <c r="F142" s="9">
        <v>900</v>
      </c>
      <c r="G142" s="4" t="s">
        <v>17</v>
      </c>
      <c r="H142" s="10">
        <v>22500</v>
      </c>
      <c r="I142" s="10">
        <v>9394.58</v>
      </c>
      <c r="J142" s="10">
        <v>13105.42</v>
      </c>
      <c r="K142" s="10">
        <f>IF(H142 = 0, 0, 100 * (H142 - I142) / H142)</f>
        <v>58.246311111111112</v>
      </c>
    </row>
    <row r="143" spans="1:11" x14ac:dyDescent="0.25">
      <c r="A143" s="3"/>
      <c r="B143" s="8">
        <v>45709</v>
      </c>
      <c r="C143" s="4" t="s">
        <v>38</v>
      </c>
      <c r="D143" s="4" t="s">
        <v>130</v>
      </c>
      <c r="E143" s="4" t="s">
        <v>131</v>
      </c>
      <c r="F143" s="9">
        <v>2000</v>
      </c>
      <c r="G143" s="4" t="s">
        <v>17</v>
      </c>
      <c r="H143" s="10">
        <v>60000</v>
      </c>
      <c r="I143" s="10">
        <v>8629.7999999999993</v>
      </c>
      <c r="J143" s="10">
        <v>51370.2</v>
      </c>
      <c r="K143" s="10">
        <f>IF(H143 = 0, 0, 100 * (H143 - I143) / H143)</f>
        <v>85.617000000000004</v>
      </c>
    </row>
    <row r="144" spans="1:11" x14ac:dyDescent="0.25">
      <c r="A144" s="3"/>
      <c r="B144" s="8">
        <v>45709</v>
      </c>
      <c r="C144" s="4" t="s">
        <v>26</v>
      </c>
      <c r="D144" s="4" t="s">
        <v>130</v>
      </c>
      <c r="E144" s="4" t="s">
        <v>131</v>
      </c>
      <c r="F144" s="9">
        <v>0</v>
      </c>
      <c r="G144" s="3"/>
      <c r="H144" s="10">
        <v>60</v>
      </c>
      <c r="I144" s="10">
        <v>0</v>
      </c>
      <c r="J144" s="10">
        <v>60</v>
      </c>
      <c r="K144" s="10">
        <f>IF(H144 = 0, 0, 100 * (H144 - I144) / H144)</f>
        <v>100</v>
      </c>
    </row>
    <row r="145" spans="1:11" x14ac:dyDescent="0.25">
      <c r="A145" s="3"/>
      <c r="B145" s="8">
        <v>45716</v>
      </c>
      <c r="C145" s="4" t="s">
        <v>18</v>
      </c>
      <c r="D145" s="4" t="s">
        <v>132</v>
      </c>
      <c r="E145" s="4" t="s">
        <v>133</v>
      </c>
      <c r="F145" s="9">
        <v>20</v>
      </c>
      <c r="G145" s="4" t="s">
        <v>19</v>
      </c>
      <c r="H145" s="10">
        <v>52</v>
      </c>
      <c r="I145" s="10">
        <v>111</v>
      </c>
      <c r="J145" s="13">
        <v>-59</v>
      </c>
      <c r="K145" s="13">
        <f>IF(H145 = 0, 0, 100 * (H145 - I145) / H145)</f>
        <v>-113.46153846153847</v>
      </c>
    </row>
    <row r="146" spans="1:11" x14ac:dyDescent="0.25">
      <c r="A146" s="3"/>
      <c r="B146" s="8">
        <v>45716</v>
      </c>
      <c r="C146" s="4" t="s">
        <v>42</v>
      </c>
      <c r="D146" s="4" t="s">
        <v>132</v>
      </c>
      <c r="E146" s="4" t="s">
        <v>133</v>
      </c>
      <c r="F146" s="9">
        <v>20</v>
      </c>
      <c r="G146" s="4" t="s">
        <v>43</v>
      </c>
      <c r="H146" s="10">
        <v>35.799999999999997</v>
      </c>
      <c r="I146" s="10">
        <v>25.8</v>
      </c>
      <c r="J146" s="10">
        <v>10</v>
      </c>
      <c r="K146" s="10">
        <f>IF(H146 = 0, 0, 100 * (H146 - I146) / H146)</f>
        <v>27.932960893854741</v>
      </c>
    </row>
    <row r="147" spans="1:11" x14ac:dyDescent="0.25">
      <c r="A147" s="3"/>
      <c r="B147" s="8">
        <v>45747</v>
      </c>
      <c r="C147" s="4" t="s">
        <v>42</v>
      </c>
      <c r="D147" s="4" t="s">
        <v>134</v>
      </c>
      <c r="E147" s="4" t="s">
        <v>135</v>
      </c>
      <c r="F147" s="9">
        <v>100</v>
      </c>
      <c r="G147" s="4" t="s">
        <v>43</v>
      </c>
      <c r="H147" s="10">
        <v>179</v>
      </c>
      <c r="I147" s="10">
        <v>129</v>
      </c>
      <c r="J147" s="10">
        <v>50</v>
      </c>
      <c r="K147" s="10">
        <f>IF(H147 = 0, 0, 100 * (H147 - I147) / H147)</f>
        <v>27.932960893854748</v>
      </c>
    </row>
    <row r="148" spans="1:11" x14ac:dyDescent="0.25">
      <c r="A148" s="3"/>
      <c r="B148" s="8">
        <v>45747</v>
      </c>
      <c r="C148" s="4" t="s">
        <v>61</v>
      </c>
      <c r="D148" s="4" t="s">
        <v>134</v>
      </c>
      <c r="E148" s="4" t="s">
        <v>135</v>
      </c>
      <c r="F148" s="9">
        <v>10</v>
      </c>
      <c r="G148" s="4" t="s">
        <v>31</v>
      </c>
      <c r="H148" s="10">
        <v>82.5</v>
      </c>
      <c r="I148" s="10">
        <v>43.6</v>
      </c>
      <c r="J148" s="10">
        <v>38.9</v>
      </c>
      <c r="K148" s="10">
        <f>IF(H148 = 0, 0, 100 * (H148 - I148) / H148)</f>
        <v>47.151515151515149</v>
      </c>
    </row>
    <row r="149" spans="1:11" x14ac:dyDescent="0.25">
      <c r="A149" s="3"/>
      <c r="B149" s="8">
        <v>45747</v>
      </c>
      <c r="C149" s="4" t="s">
        <v>94</v>
      </c>
      <c r="D149" s="4" t="s">
        <v>134</v>
      </c>
      <c r="E149" s="4" t="s">
        <v>135</v>
      </c>
      <c r="F149" s="9">
        <v>10</v>
      </c>
      <c r="G149" s="4" t="s">
        <v>21</v>
      </c>
      <c r="H149" s="11">
        <v>122.5</v>
      </c>
      <c r="I149" s="11">
        <v>65.38</v>
      </c>
      <c r="J149" s="11">
        <v>57.12</v>
      </c>
      <c r="K149" s="10">
        <f>IF(H149 = 0, 0, 100 * (H149 - I149) / H149)</f>
        <v>46.628571428571426</v>
      </c>
    </row>
    <row r="151" spans="1:11" ht="15.75" thickBot="1" x14ac:dyDescent="0.3">
      <c r="A151" s="3"/>
      <c r="B151" s="3"/>
      <c r="C151" s="3"/>
      <c r="D151" s="3"/>
      <c r="E151" s="3"/>
      <c r="F151" s="3"/>
      <c r="G151" s="3"/>
      <c r="H151" s="12">
        <f>SUBTOTAL(9,H134:H149)</f>
        <v>118527.00000000001</v>
      </c>
      <c r="I151" s="12">
        <f>SUBTOTAL(9,I134:I149)</f>
        <v>22105.289999999997</v>
      </c>
      <c r="J151" s="12">
        <f>SUBTOTAL(9,J134:J149)</f>
        <v>96421.709999999992</v>
      </c>
    </row>
    <row r="152" spans="1:11" ht="15.75" thickTop="1" x14ac:dyDescent="0.25"/>
    <row r="153" spans="1:11" x14ac:dyDescent="0.25">
      <c r="A153" s="7" t="s">
        <v>136</v>
      </c>
    </row>
    <row r="154" spans="1:11" x14ac:dyDescent="0.25">
      <c r="A154" s="3"/>
      <c r="B154" s="8">
        <v>45545</v>
      </c>
      <c r="C154" s="4" t="s">
        <v>60</v>
      </c>
      <c r="D154" s="4" t="s">
        <v>137</v>
      </c>
      <c r="E154" s="4" t="s">
        <v>138</v>
      </c>
      <c r="F154" s="9">
        <v>100</v>
      </c>
      <c r="G154" s="4" t="s">
        <v>31</v>
      </c>
      <c r="H154" s="10">
        <v>495</v>
      </c>
      <c r="I154" s="10">
        <v>173</v>
      </c>
      <c r="J154" s="10">
        <v>322</v>
      </c>
      <c r="K154" s="10">
        <f>IF(H154 = 0, 0, 100 * (H154 - I154) / H154)</f>
        <v>65.050505050505052</v>
      </c>
    </row>
    <row r="155" spans="1:11" x14ac:dyDescent="0.25">
      <c r="A155" s="3"/>
      <c r="B155" s="8">
        <v>45545</v>
      </c>
      <c r="C155" s="4" t="s">
        <v>59</v>
      </c>
      <c r="D155" s="4" t="s">
        <v>137</v>
      </c>
      <c r="E155" s="4" t="s">
        <v>138</v>
      </c>
      <c r="F155" s="9">
        <v>100</v>
      </c>
      <c r="G155" s="4" t="s">
        <v>31</v>
      </c>
      <c r="H155" s="10">
        <v>485</v>
      </c>
      <c r="I155" s="10">
        <v>248.95</v>
      </c>
      <c r="J155" s="10">
        <v>236.05</v>
      </c>
      <c r="K155" s="10">
        <f>IF(H155 = 0, 0, 100 * (H155 - I155) / H155)</f>
        <v>48.670103092783506</v>
      </c>
    </row>
    <row r="156" spans="1:11" x14ac:dyDescent="0.25">
      <c r="A156" s="3"/>
      <c r="B156" s="8">
        <v>45545</v>
      </c>
      <c r="C156" s="4" t="s">
        <v>61</v>
      </c>
      <c r="D156" s="4" t="s">
        <v>137</v>
      </c>
      <c r="E156" s="4" t="s">
        <v>138</v>
      </c>
      <c r="F156" s="9">
        <v>100</v>
      </c>
      <c r="G156" s="4" t="s">
        <v>31</v>
      </c>
      <c r="H156" s="10">
        <v>825</v>
      </c>
      <c r="I156" s="10">
        <v>436</v>
      </c>
      <c r="J156" s="10">
        <v>389</v>
      </c>
      <c r="K156" s="10">
        <f>IF(H156 = 0, 0, 100 * (H156 - I156) / H156)</f>
        <v>47.151515151515149</v>
      </c>
    </row>
    <row r="157" spans="1:11" x14ac:dyDescent="0.25">
      <c r="A157" s="3"/>
      <c r="B157" s="8">
        <v>45545</v>
      </c>
      <c r="C157" s="4" t="s">
        <v>72</v>
      </c>
      <c r="D157" s="4" t="s">
        <v>137</v>
      </c>
      <c r="E157" s="4" t="s">
        <v>138</v>
      </c>
      <c r="F157" s="9">
        <v>250</v>
      </c>
      <c r="G157" s="4" t="s">
        <v>21</v>
      </c>
      <c r="H157" s="10">
        <v>5912.5</v>
      </c>
      <c r="I157" s="10">
        <v>2832.5</v>
      </c>
      <c r="J157" s="10">
        <v>3080</v>
      </c>
      <c r="K157" s="10">
        <f>IF(H157 = 0, 0, 100 * (H157 - I157) / H157)</f>
        <v>52.093023255813954</v>
      </c>
    </row>
    <row r="158" spans="1:11" x14ac:dyDescent="0.25">
      <c r="A158" s="3"/>
      <c r="B158" s="8">
        <v>45716</v>
      </c>
      <c r="C158" s="4" t="s">
        <v>116</v>
      </c>
      <c r="D158" s="4" t="s">
        <v>139</v>
      </c>
      <c r="E158" s="4" t="s">
        <v>140</v>
      </c>
      <c r="F158" s="9">
        <v>20</v>
      </c>
      <c r="G158" s="4" t="s">
        <v>43</v>
      </c>
      <c r="H158" s="10">
        <v>54.4</v>
      </c>
      <c r="I158" s="10">
        <v>39.200000000000003</v>
      </c>
      <c r="J158" s="10">
        <v>15.2</v>
      </c>
      <c r="K158" s="10">
        <f>IF(H158 = 0, 0, 100 * (H158 - I158) / H158)</f>
        <v>27.941176470588228</v>
      </c>
    </row>
    <row r="159" spans="1:11" x14ac:dyDescent="0.25">
      <c r="A159" s="3"/>
      <c r="B159" s="8">
        <v>45716</v>
      </c>
      <c r="C159" s="4" t="s">
        <v>78</v>
      </c>
      <c r="D159" s="4" t="s">
        <v>139</v>
      </c>
      <c r="E159" s="4" t="s">
        <v>140</v>
      </c>
      <c r="F159" s="9">
        <v>20</v>
      </c>
      <c r="G159" s="4" t="s">
        <v>43</v>
      </c>
      <c r="H159" s="10">
        <v>34</v>
      </c>
      <c r="I159" s="10">
        <v>8</v>
      </c>
      <c r="J159" s="10">
        <v>26</v>
      </c>
      <c r="K159" s="10">
        <f>IF(H159 = 0, 0, 100 * (H159 - I159) / H159)</f>
        <v>76.470588235294116</v>
      </c>
    </row>
    <row r="160" spans="1:11" x14ac:dyDescent="0.25">
      <c r="A160" s="3"/>
      <c r="B160" s="8">
        <v>45722</v>
      </c>
      <c r="C160" s="4" t="s">
        <v>38</v>
      </c>
      <c r="D160" s="4" t="s">
        <v>110</v>
      </c>
      <c r="E160" s="4" t="s">
        <v>141</v>
      </c>
      <c r="F160" s="9">
        <v>2500</v>
      </c>
      <c r="G160" s="4" t="s">
        <v>17</v>
      </c>
      <c r="H160" s="10">
        <v>75000</v>
      </c>
      <c r="I160" s="10">
        <v>10787.25</v>
      </c>
      <c r="J160" s="10">
        <v>64212.75</v>
      </c>
      <c r="K160" s="10">
        <f>IF(H160 = 0, 0, 100 * (H160 - I160) / H160)</f>
        <v>85.617000000000004</v>
      </c>
    </row>
    <row r="161" spans="1:11" x14ac:dyDescent="0.25">
      <c r="A161" s="3"/>
      <c r="B161" s="8">
        <v>45747</v>
      </c>
      <c r="C161" s="4" t="s">
        <v>116</v>
      </c>
      <c r="D161" s="4" t="s">
        <v>142</v>
      </c>
      <c r="E161" s="4" t="s">
        <v>143</v>
      </c>
      <c r="F161" s="15">
        <v>-20</v>
      </c>
      <c r="G161" s="4" t="s">
        <v>43</v>
      </c>
      <c r="H161" s="13">
        <v>-54.4</v>
      </c>
      <c r="I161" s="13">
        <v>-39.200000000000003</v>
      </c>
      <c r="J161" s="13">
        <v>-15.2</v>
      </c>
      <c r="K161" s="10">
        <f>IF(H161 = 0, 0, 100 * (H161 - I161) / H161)</f>
        <v>27.941176470588228</v>
      </c>
    </row>
    <row r="162" spans="1:11" x14ac:dyDescent="0.25">
      <c r="A162" s="3"/>
      <c r="B162" s="8">
        <v>45747</v>
      </c>
      <c r="C162" s="4" t="s">
        <v>78</v>
      </c>
      <c r="D162" s="4" t="s">
        <v>142</v>
      </c>
      <c r="E162" s="4" t="s">
        <v>143</v>
      </c>
      <c r="F162" s="15">
        <v>-20</v>
      </c>
      <c r="G162" s="4" t="s">
        <v>43</v>
      </c>
      <c r="H162" s="14">
        <v>-34</v>
      </c>
      <c r="I162" s="14">
        <v>-8</v>
      </c>
      <c r="J162" s="14">
        <v>-26</v>
      </c>
      <c r="K162" s="10">
        <f>IF(H162 = 0, 0, 100 * (H162 - I162) / H162)</f>
        <v>76.470588235294116</v>
      </c>
    </row>
    <row r="164" spans="1:11" ht="15.75" thickBot="1" x14ac:dyDescent="0.3">
      <c r="A164" s="3"/>
      <c r="B164" s="3"/>
      <c r="C164" s="3"/>
      <c r="D164" s="3"/>
      <c r="E164" s="3"/>
      <c r="F164" s="3"/>
      <c r="G164" s="3"/>
      <c r="H164" s="12">
        <f>SUBTOTAL(9,H154:H162)</f>
        <v>82717.5</v>
      </c>
      <c r="I164" s="12">
        <f>SUBTOTAL(9,I154:I162)</f>
        <v>14477.699999999999</v>
      </c>
      <c r="J164" s="12">
        <f>SUBTOTAL(9,J154:J162)</f>
        <v>68239.8</v>
      </c>
    </row>
    <row r="165" spans="1:11" ht="15.75" thickTop="1" x14ac:dyDescent="0.25"/>
    <row r="166" spans="1:11" x14ac:dyDescent="0.25">
      <c r="A166" s="7" t="s">
        <v>144</v>
      </c>
    </row>
    <row r="167" spans="1:11" x14ac:dyDescent="0.25">
      <c r="A167" s="3"/>
      <c r="B167" s="8">
        <v>45488</v>
      </c>
      <c r="C167" s="4" t="s">
        <v>109</v>
      </c>
      <c r="D167" s="4" t="s">
        <v>145</v>
      </c>
      <c r="E167" s="4" t="s">
        <v>146</v>
      </c>
      <c r="F167" s="9">
        <v>9</v>
      </c>
      <c r="G167" s="4" t="s">
        <v>33</v>
      </c>
      <c r="H167" s="10">
        <v>432</v>
      </c>
      <c r="I167" s="10">
        <v>51.91</v>
      </c>
      <c r="J167" s="10">
        <v>380.09</v>
      </c>
      <c r="K167" s="10">
        <f>IF(H167 = 0, 0, 100 * (H167 - I167) / H167)</f>
        <v>87.983796296296291</v>
      </c>
    </row>
    <row r="168" spans="1:11" x14ac:dyDescent="0.25">
      <c r="A168" s="3"/>
      <c r="B168" s="8">
        <v>45488</v>
      </c>
      <c r="C168" s="4" t="s">
        <v>106</v>
      </c>
      <c r="D168" s="4" t="s">
        <v>145</v>
      </c>
      <c r="E168" s="4" t="s">
        <v>146</v>
      </c>
      <c r="F168" s="9">
        <v>9</v>
      </c>
      <c r="G168" s="4" t="s">
        <v>33</v>
      </c>
      <c r="H168" s="10">
        <v>273.60000000000002</v>
      </c>
      <c r="I168" s="10">
        <v>44.67</v>
      </c>
      <c r="J168" s="10">
        <v>228.93</v>
      </c>
      <c r="K168" s="10">
        <f>IF(H168 = 0, 0, 100 * (H168 - I168) / H168)</f>
        <v>83.673245614035082</v>
      </c>
    </row>
    <row r="169" spans="1:11" x14ac:dyDescent="0.25">
      <c r="A169" s="3"/>
      <c r="B169" s="8">
        <v>45694</v>
      </c>
      <c r="C169" s="4" t="s">
        <v>14</v>
      </c>
      <c r="D169" s="4" t="s">
        <v>147</v>
      </c>
      <c r="E169" s="4" t="s">
        <v>148</v>
      </c>
      <c r="F169" s="9">
        <v>400</v>
      </c>
      <c r="G169" s="4" t="s">
        <v>17</v>
      </c>
      <c r="H169" s="10">
        <v>10000</v>
      </c>
      <c r="I169" s="10">
        <v>1484.72</v>
      </c>
      <c r="J169" s="10">
        <v>8515.2800000000007</v>
      </c>
      <c r="K169" s="10">
        <f>IF(H169 = 0, 0, 100 * (H169 - I169) / H169)</f>
        <v>85.152800000000013</v>
      </c>
    </row>
    <row r="170" spans="1:11" x14ac:dyDescent="0.25">
      <c r="A170" s="3"/>
      <c r="B170" s="8">
        <v>45694</v>
      </c>
      <c r="C170" s="4" t="s">
        <v>38</v>
      </c>
      <c r="D170" s="4" t="s">
        <v>147</v>
      </c>
      <c r="E170" s="4" t="s">
        <v>148</v>
      </c>
      <c r="F170" s="9">
        <v>1000</v>
      </c>
      <c r="G170" s="4" t="s">
        <v>17</v>
      </c>
      <c r="H170" s="10">
        <v>30000</v>
      </c>
      <c r="I170" s="10">
        <v>4314.8999999999996</v>
      </c>
      <c r="J170" s="10">
        <v>25685.1</v>
      </c>
      <c r="K170" s="10">
        <f>IF(H170 = 0, 0, 100 * (H170 - I170) / H170)</f>
        <v>85.617000000000004</v>
      </c>
    </row>
    <row r="171" spans="1:11" x14ac:dyDescent="0.25">
      <c r="A171" s="3"/>
      <c r="B171" s="8">
        <v>45694</v>
      </c>
      <c r="C171" s="4" t="s">
        <v>26</v>
      </c>
      <c r="D171" s="4" t="s">
        <v>147</v>
      </c>
      <c r="E171" s="4" t="s">
        <v>148</v>
      </c>
      <c r="F171" s="9">
        <v>0</v>
      </c>
      <c r="G171" s="3"/>
      <c r="H171" s="11">
        <v>80</v>
      </c>
      <c r="I171" s="11">
        <v>0</v>
      </c>
      <c r="J171" s="11">
        <v>80</v>
      </c>
      <c r="K171" s="10">
        <f>IF(H171 = 0, 0, 100 * (H171 - I171) / H171)</f>
        <v>100</v>
      </c>
    </row>
    <row r="173" spans="1:11" ht="15.75" thickBot="1" x14ac:dyDescent="0.3">
      <c r="A173" s="3"/>
      <c r="B173" s="3"/>
      <c r="C173" s="3"/>
      <c r="D173" s="3"/>
      <c r="E173" s="3"/>
      <c r="F173" s="3"/>
      <c r="G173" s="3"/>
      <c r="H173" s="12">
        <f>SUBTOTAL(9,H167:H171)</f>
        <v>40785.599999999999</v>
      </c>
      <c r="I173" s="12">
        <f>SUBTOTAL(9,I167:I171)</f>
        <v>5896.2</v>
      </c>
      <c r="J173" s="12">
        <f>SUBTOTAL(9,J167:J171)</f>
        <v>34889.4</v>
      </c>
    </row>
    <row r="174" spans="1:11" ht="15.75" thickTop="1" x14ac:dyDescent="0.25"/>
    <row r="175" spans="1:11" x14ac:dyDescent="0.25">
      <c r="A175" s="7" t="s">
        <v>149</v>
      </c>
    </row>
    <row r="176" spans="1:11" x14ac:dyDescent="0.25">
      <c r="A176" s="3"/>
      <c r="B176" s="8">
        <v>45490</v>
      </c>
      <c r="C176" s="4" t="s">
        <v>38</v>
      </c>
      <c r="D176" s="4" t="s">
        <v>150</v>
      </c>
      <c r="E176" s="4" t="s">
        <v>151</v>
      </c>
      <c r="F176" s="9">
        <v>80</v>
      </c>
      <c r="G176" s="4" t="s">
        <v>17</v>
      </c>
      <c r="H176" s="10">
        <v>2400</v>
      </c>
      <c r="I176" s="10">
        <v>345.19</v>
      </c>
      <c r="J176" s="10">
        <v>2054.81</v>
      </c>
      <c r="K176" s="10">
        <f>IF(H176 = 0, 0, 100 * (H176 - I176) / H176)</f>
        <v>85.617083333333326</v>
      </c>
    </row>
    <row r="177" spans="1:11" x14ac:dyDescent="0.25">
      <c r="A177" s="3"/>
      <c r="B177" s="8">
        <v>45490</v>
      </c>
      <c r="C177" s="4" t="s">
        <v>28</v>
      </c>
      <c r="D177" s="4" t="s">
        <v>150</v>
      </c>
      <c r="E177" s="4" t="s">
        <v>151</v>
      </c>
      <c r="F177" s="9">
        <v>210</v>
      </c>
      <c r="G177" s="4" t="s">
        <v>31</v>
      </c>
      <c r="H177" s="10">
        <v>777</v>
      </c>
      <c r="I177" s="10">
        <v>205.8</v>
      </c>
      <c r="J177" s="10">
        <v>571.20000000000005</v>
      </c>
      <c r="K177" s="10">
        <f>IF(H177 = 0, 0, 100 * (H177 - I177) / H177)</f>
        <v>73.513513513513516</v>
      </c>
    </row>
    <row r="178" spans="1:11" x14ac:dyDescent="0.25">
      <c r="A178" s="3"/>
      <c r="B178" s="8">
        <v>45490</v>
      </c>
      <c r="C178" s="4" t="s">
        <v>23</v>
      </c>
      <c r="D178" s="4" t="s">
        <v>150</v>
      </c>
      <c r="E178" s="4" t="s">
        <v>151</v>
      </c>
      <c r="F178" s="9">
        <v>150</v>
      </c>
      <c r="G178" s="4" t="s">
        <v>17</v>
      </c>
      <c r="H178" s="10">
        <v>648</v>
      </c>
      <c r="I178" s="10">
        <v>39.200000000000003</v>
      </c>
      <c r="J178" s="10">
        <v>608.79999999999995</v>
      </c>
      <c r="K178" s="10">
        <f>IF(H178 = 0, 0, 100 * (H178 - I178) / H178)</f>
        <v>93.950617283950606</v>
      </c>
    </row>
    <row r="179" spans="1:11" x14ac:dyDescent="0.25">
      <c r="A179" s="3"/>
      <c r="B179" s="8">
        <v>45547</v>
      </c>
      <c r="C179" s="4" t="s">
        <v>152</v>
      </c>
      <c r="D179" s="4" t="s">
        <v>153</v>
      </c>
      <c r="E179" s="4" t="s">
        <v>154</v>
      </c>
      <c r="F179" s="9">
        <v>1000</v>
      </c>
      <c r="G179" s="4" t="s">
        <v>17</v>
      </c>
      <c r="H179" s="10">
        <v>3110</v>
      </c>
      <c r="I179" s="10">
        <v>1720</v>
      </c>
      <c r="J179" s="10">
        <v>1390</v>
      </c>
      <c r="K179" s="10">
        <f>IF(H179 = 0, 0, 100 * (H179 - I179) / H179)</f>
        <v>44.69453376205788</v>
      </c>
    </row>
    <row r="180" spans="1:11" x14ac:dyDescent="0.25">
      <c r="A180" s="3"/>
      <c r="B180" s="8">
        <v>45547</v>
      </c>
      <c r="C180" s="4" t="s">
        <v>23</v>
      </c>
      <c r="D180" s="4" t="s">
        <v>153</v>
      </c>
      <c r="E180" s="4" t="s">
        <v>154</v>
      </c>
      <c r="F180" s="9">
        <v>1000</v>
      </c>
      <c r="G180" s="4" t="s">
        <v>17</v>
      </c>
      <c r="H180" s="10">
        <v>4320</v>
      </c>
      <c r="I180" s="10">
        <v>261.3</v>
      </c>
      <c r="J180" s="10">
        <v>4058.7</v>
      </c>
      <c r="K180" s="10">
        <f>IF(H180 = 0, 0, 100 * (H180 - I180) / H180)</f>
        <v>93.951388888888886</v>
      </c>
    </row>
    <row r="181" spans="1:11" x14ac:dyDescent="0.25">
      <c r="A181" s="3"/>
      <c r="B181" s="8">
        <v>45547</v>
      </c>
      <c r="C181" s="4" t="s">
        <v>66</v>
      </c>
      <c r="D181" s="4" t="s">
        <v>153</v>
      </c>
      <c r="E181" s="4" t="s">
        <v>154</v>
      </c>
      <c r="F181" s="9">
        <v>500</v>
      </c>
      <c r="G181" s="4" t="s">
        <v>43</v>
      </c>
      <c r="H181" s="10">
        <v>1125</v>
      </c>
      <c r="I181" s="10">
        <v>638.4</v>
      </c>
      <c r="J181" s="10">
        <v>486.6</v>
      </c>
      <c r="K181" s="10">
        <f>IF(H181 = 0, 0, 100 * (H181 - I181) / H181)</f>
        <v>43.25333333333333</v>
      </c>
    </row>
    <row r="182" spans="1:11" x14ac:dyDescent="0.25">
      <c r="A182" s="3"/>
      <c r="B182" s="8">
        <v>45688</v>
      </c>
      <c r="C182" s="4" t="s">
        <v>116</v>
      </c>
      <c r="D182" s="4" t="s">
        <v>89</v>
      </c>
      <c r="E182" s="4" t="s">
        <v>155</v>
      </c>
      <c r="F182" s="9">
        <v>100</v>
      </c>
      <c r="G182" s="4" t="s">
        <v>43</v>
      </c>
      <c r="H182" s="10">
        <v>150</v>
      </c>
      <c r="I182" s="10">
        <v>20.16</v>
      </c>
      <c r="J182" s="10">
        <v>129.84</v>
      </c>
      <c r="K182" s="10">
        <f>IF(H182 = 0, 0, 100 * (H182 - I182) / H182)</f>
        <v>86.56</v>
      </c>
    </row>
    <row r="183" spans="1:11" x14ac:dyDescent="0.25">
      <c r="A183" s="3"/>
      <c r="B183" s="8">
        <v>45716</v>
      </c>
      <c r="C183" s="4" t="s">
        <v>34</v>
      </c>
      <c r="D183" s="4" t="s">
        <v>110</v>
      </c>
      <c r="E183" s="4" t="s">
        <v>156</v>
      </c>
      <c r="F183" s="9">
        <v>20</v>
      </c>
      <c r="G183" s="4" t="s">
        <v>21</v>
      </c>
      <c r="H183" s="10">
        <v>145.80000000000001</v>
      </c>
      <c r="I183" s="10">
        <v>83.03</v>
      </c>
      <c r="J183" s="10">
        <v>62.77</v>
      </c>
      <c r="K183" s="10">
        <f>IF(H183 = 0, 0, 100 * (H183 - I183) / H183)</f>
        <v>43.052126200274351</v>
      </c>
    </row>
    <row r="184" spans="1:11" x14ac:dyDescent="0.25">
      <c r="A184" s="3"/>
      <c r="B184" s="8">
        <v>45716</v>
      </c>
      <c r="C184" s="4" t="s">
        <v>77</v>
      </c>
      <c r="D184" s="4" t="s">
        <v>110</v>
      </c>
      <c r="E184" s="4" t="s">
        <v>156</v>
      </c>
      <c r="F184" s="9">
        <v>10</v>
      </c>
      <c r="G184" s="4" t="s">
        <v>48</v>
      </c>
      <c r="H184" s="10">
        <v>40.5</v>
      </c>
      <c r="I184" s="10">
        <v>3.21</v>
      </c>
      <c r="J184" s="10">
        <v>37.29</v>
      </c>
      <c r="K184" s="10">
        <f>IF(H184 = 0, 0, 100 * (H184 - I184) / H184)</f>
        <v>92.074074074074076</v>
      </c>
    </row>
    <row r="185" spans="1:11" x14ac:dyDescent="0.25">
      <c r="A185" s="3"/>
      <c r="B185" s="8">
        <v>45747</v>
      </c>
      <c r="C185" s="4" t="s">
        <v>72</v>
      </c>
      <c r="D185" s="4" t="s">
        <v>157</v>
      </c>
      <c r="E185" s="4" t="s">
        <v>158</v>
      </c>
      <c r="F185" s="9">
        <v>10</v>
      </c>
      <c r="G185" s="4" t="s">
        <v>21</v>
      </c>
      <c r="H185" s="11">
        <v>236.5</v>
      </c>
      <c r="I185" s="11">
        <v>110</v>
      </c>
      <c r="J185" s="11">
        <v>126.5</v>
      </c>
      <c r="K185" s="10">
        <f>IF(H185 = 0, 0, 100 * (H185 - I185) / H185)</f>
        <v>53.488372093023258</v>
      </c>
    </row>
    <row r="187" spans="1:11" ht="15.75" thickBot="1" x14ac:dyDescent="0.3">
      <c r="A187" s="3"/>
      <c r="B187" s="3"/>
      <c r="C187" s="3"/>
      <c r="D187" s="3"/>
      <c r="E187" s="3"/>
      <c r="F187" s="3"/>
      <c r="G187" s="3"/>
      <c r="H187" s="12">
        <f>SUBTOTAL(9,H176:H185)</f>
        <v>12952.8</v>
      </c>
      <c r="I187" s="12">
        <f>SUBTOTAL(9,I176:I185)</f>
        <v>3426.2900000000004</v>
      </c>
      <c r="J187" s="12">
        <f>SUBTOTAL(9,J176:J185)</f>
        <v>9526.510000000002</v>
      </c>
    </row>
    <row r="188" spans="1:11" ht="15.75" thickTop="1" x14ac:dyDescent="0.25"/>
    <row r="189" spans="1:11" x14ac:dyDescent="0.25">
      <c r="A189" s="7" t="s">
        <v>159</v>
      </c>
    </row>
    <row r="190" spans="1:11" x14ac:dyDescent="0.25">
      <c r="A190" s="3"/>
      <c r="B190" s="8">
        <v>45553</v>
      </c>
      <c r="C190" s="4" t="s">
        <v>18</v>
      </c>
      <c r="D190" s="4" t="s">
        <v>160</v>
      </c>
      <c r="E190" s="4" t="s">
        <v>161</v>
      </c>
      <c r="F190" s="9">
        <v>5000</v>
      </c>
      <c r="G190" s="4" t="s">
        <v>19</v>
      </c>
      <c r="H190" s="10">
        <v>13000</v>
      </c>
      <c r="I190" s="10">
        <v>10013.5</v>
      </c>
      <c r="J190" s="10">
        <v>2986.5</v>
      </c>
      <c r="K190" s="10">
        <f>IF(H190 = 0, 0, 100 * (H190 - I190) / H190)</f>
        <v>22.973076923076924</v>
      </c>
    </row>
    <row r="191" spans="1:11" x14ac:dyDescent="0.25">
      <c r="A191" s="3"/>
      <c r="B191" s="8">
        <v>45553</v>
      </c>
      <c r="C191" s="4" t="s">
        <v>152</v>
      </c>
      <c r="D191" s="4" t="s">
        <v>160</v>
      </c>
      <c r="E191" s="4" t="s">
        <v>161</v>
      </c>
      <c r="F191" s="9">
        <v>1000</v>
      </c>
      <c r="G191" s="4" t="s">
        <v>17</v>
      </c>
      <c r="H191" s="10">
        <v>4750</v>
      </c>
      <c r="I191" s="10">
        <v>1720</v>
      </c>
      <c r="J191" s="10">
        <v>3030</v>
      </c>
      <c r="K191" s="10">
        <f>IF(H191 = 0, 0, 100 * (H191 - I191) / H191)</f>
        <v>63.789473684210527</v>
      </c>
    </row>
    <row r="192" spans="1:11" x14ac:dyDescent="0.25">
      <c r="A192" s="3"/>
      <c r="B192" s="8">
        <v>45575</v>
      </c>
      <c r="C192" s="4" t="s">
        <v>81</v>
      </c>
      <c r="D192" s="4" t="s">
        <v>162</v>
      </c>
      <c r="E192" s="4" t="s">
        <v>163</v>
      </c>
      <c r="F192" s="9">
        <v>50</v>
      </c>
      <c r="G192" s="4" t="s">
        <v>17</v>
      </c>
      <c r="H192" s="10">
        <v>237.5</v>
      </c>
      <c r="I192" s="10">
        <v>119.5</v>
      </c>
      <c r="J192" s="10">
        <v>118</v>
      </c>
      <c r="K192" s="10">
        <f>IF(H192 = 0, 0, 100 * (H192 - I192) / H192)</f>
        <v>49.684210526315788</v>
      </c>
    </row>
    <row r="193" spans="1:11" x14ac:dyDescent="0.25">
      <c r="A193" s="3"/>
      <c r="B193" s="8">
        <v>45747</v>
      </c>
      <c r="C193" s="4" t="s">
        <v>38</v>
      </c>
      <c r="D193" s="4" t="s">
        <v>164</v>
      </c>
      <c r="E193" s="4" t="s">
        <v>165</v>
      </c>
      <c r="F193" s="9">
        <v>50</v>
      </c>
      <c r="G193" s="4" t="s">
        <v>17</v>
      </c>
      <c r="H193" s="10">
        <v>750</v>
      </c>
      <c r="I193" s="10">
        <v>215.75</v>
      </c>
      <c r="J193" s="10">
        <v>534.25</v>
      </c>
      <c r="K193" s="10">
        <f>IF(H193 = 0, 0, 100 * (H193 - I193) / H193)</f>
        <v>71.233333333333334</v>
      </c>
    </row>
    <row r="194" spans="1:11" x14ac:dyDescent="0.25">
      <c r="A194" s="3"/>
      <c r="B194" s="8">
        <v>45747</v>
      </c>
      <c r="C194" s="4" t="s">
        <v>152</v>
      </c>
      <c r="D194" s="4" t="s">
        <v>164</v>
      </c>
      <c r="E194" s="4" t="s">
        <v>165</v>
      </c>
      <c r="F194" s="9">
        <v>50</v>
      </c>
      <c r="G194" s="4" t="s">
        <v>17</v>
      </c>
      <c r="H194" s="11">
        <v>78</v>
      </c>
      <c r="I194" s="11">
        <v>87.5</v>
      </c>
      <c r="J194" s="14">
        <v>-9.5</v>
      </c>
      <c r="K194" s="13">
        <f>IF(H194 = 0, 0, 100 * (H194 - I194) / H194)</f>
        <v>-12.179487179487179</v>
      </c>
    </row>
    <row r="196" spans="1:11" ht="15.75" thickBot="1" x14ac:dyDescent="0.3">
      <c r="A196" s="3"/>
      <c r="B196" s="3"/>
      <c r="C196" s="3"/>
      <c r="D196" s="3"/>
      <c r="E196" s="3"/>
      <c r="F196" s="3"/>
      <c r="G196" s="3"/>
      <c r="H196" s="12">
        <f>SUBTOTAL(9,H190:H194)</f>
        <v>18815.5</v>
      </c>
      <c r="I196" s="12">
        <f>SUBTOTAL(9,I190:I194)</f>
        <v>12156.25</v>
      </c>
      <c r="J196" s="12">
        <f>SUBTOTAL(9,J190:J194)</f>
        <v>6659.25</v>
      </c>
    </row>
    <row r="197" spans="1:11" ht="15.75" thickTop="1" x14ac:dyDescent="0.25"/>
    <row r="198" spans="1:11" x14ac:dyDescent="0.25">
      <c r="A198" s="7" t="s">
        <v>166</v>
      </c>
    </row>
    <row r="199" spans="1:11" x14ac:dyDescent="0.25">
      <c r="A199" s="3"/>
      <c r="B199" s="8">
        <v>45545</v>
      </c>
      <c r="C199" s="4" t="s">
        <v>14</v>
      </c>
      <c r="D199" s="4" t="s">
        <v>167</v>
      </c>
      <c r="E199" s="4" t="s">
        <v>168</v>
      </c>
      <c r="F199" s="9">
        <v>500</v>
      </c>
      <c r="G199" s="4" t="s">
        <v>17</v>
      </c>
      <c r="H199" s="10">
        <v>12500</v>
      </c>
      <c r="I199" s="10">
        <v>1855.9</v>
      </c>
      <c r="J199" s="10">
        <v>10644.1</v>
      </c>
      <c r="K199" s="10">
        <f>IF(H199 = 0, 0, 100 * (H199 - I199) / H199)</f>
        <v>85.152799999999999</v>
      </c>
    </row>
    <row r="200" spans="1:11" x14ac:dyDescent="0.25">
      <c r="A200" s="3"/>
      <c r="B200" s="8">
        <v>45545</v>
      </c>
      <c r="C200" s="4" t="s">
        <v>38</v>
      </c>
      <c r="D200" s="4" t="s">
        <v>167</v>
      </c>
      <c r="E200" s="4" t="s">
        <v>168</v>
      </c>
      <c r="F200" s="9">
        <v>250</v>
      </c>
      <c r="G200" s="4" t="s">
        <v>17</v>
      </c>
      <c r="H200" s="11">
        <v>7500</v>
      </c>
      <c r="I200" s="11">
        <v>1078.73</v>
      </c>
      <c r="J200" s="11">
        <v>6421.27</v>
      </c>
      <c r="K200" s="10">
        <f>IF(H200 = 0, 0, 100 * (H200 - I200) / H200)</f>
        <v>85.616933333333336</v>
      </c>
    </row>
    <row r="202" spans="1:11" ht="15.75" thickBot="1" x14ac:dyDescent="0.3">
      <c r="A202" s="3"/>
      <c r="B202" s="3"/>
      <c r="C202" s="3"/>
      <c r="D202" s="3"/>
      <c r="E202" s="3"/>
      <c r="F202" s="3"/>
      <c r="G202" s="3"/>
      <c r="H202" s="12">
        <f>SUBTOTAL(9,H199:H200)</f>
        <v>20000</v>
      </c>
      <c r="I202" s="12">
        <f>SUBTOTAL(9,I199:I200)</f>
        <v>2934.63</v>
      </c>
      <c r="J202" s="12">
        <f>SUBTOTAL(9,J199:J200)</f>
        <v>17065.370000000003</v>
      </c>
    </row>
    <row r="203" spans="1:11" ht="15.75" thickTop="1" x14ac:dyDescent="0.25"/>
    <row r="204" spans="1:11" x14ac:dyDescent="0.25">
      <c r="A204" s="7" t="s">
        <v>169</v>
      </c>
    </row>
    <row r="205" spans="1:11" x14ac:dyDescent="0.25">
      <c r="A205" s="3"/>
      <c r="B205" s="8">
        <v>45498</v>
      </c>
      <c r="C205" s="4" t="s">
        <v>51</v>
      </c>
      <c r="D205" s="4" t="s">
        <v>170</v>
      </c>
      <c r="E205" s="4" t="s">
        <v>171</v>
      </c>
      <c r="F205" s="9">
        <v>400</v>
      </c>
      <c r="G205" s="4" t="s">
        <v>52</v>
      </c>
      <c r="H205" s="10">
        <v>8600</v>
      </c>
      <c r="I205" s="10">
        <v>6644.76</v>
      </c>
      <c r="J205" s="10">
        <v>1955.24</v>
      </c>
      <c r="K205" s="10">
        <f>IF(H205 = 0, 0, 100 * (H205 - I205) / H205)</f>
        <v>22.735348837209298</v>
      </c>
    </row>
    <row r="206" spans="1:11" x14ac:dyDescent="0.25">
      <c r="A206" s="3"/>
      <c r="B206" s="8">
        <v>45498</v>
      </c>
      <c r="C206" s="4" t="s">
        <v>26</v>
      </c>
      <c r="D206" s="4" t="s">
        <v>170</v>
      </c>
      <c r="E206" s="4" t="s">
        <v>171</v>
      </c>
      <c r="F206" s="9">
        <v>0</v>
      </c>
      <c r="G206" s="3"/>
      <c r="H206" s="10">
        <v>500</v>
      </c>
      <c r="I206" s="10">
        <v>0</v>
      </c>
      <c r="J206" s="10">
        <v>500</v>
      </c>
      <c r="K206" s="10">
        <f>IF(H206 = 0, 0, 100 * (H206 - I206) / H206)</f>
        <v>100</v>
      </c>
    </row>
    <row r="207" spans="1:11" x14ac:dyDescent="0.25">
      <c r="A207" s="3"/>
      <c r="B207" s="8">
        <v>45676</v>
      </c>
      <c r="C207" s="4" t="s">
        <v>18</v>
      </c>
      <c r="D207" s="4" t="s">
        <v>172</v>
      </c>
      <c r="E207" s="4" t="s">
        <v>173</v>
      </c>
      <c r="F207" s="9">
        <v>1500</v>
      </c>
      <c r="G207" s="4" t="s">
        <v>19</v>
      </c>
      <c r="H207" s="10">
        <v>3900</v>
      </c>
      <c r="I207" s="10">
        <v>3528.08</v>
      </c>
      <c r="J207" s="10">
        <v>371.92</v>
      </c>
      <c r="K207" s="10">
        <f>IF(H207 = 0, 0, 100 * (H207 - I207) / H207)</f>
        <v>9.5364102564102584</v>
      </c>
    </row>
    <row r="208" spans="1:11" x14ac:dyDescent="0.25">
      <c r="A208" s="3"/>
      <c r="B208" s="8">
        <v>45676</v>
      </c>
      <c r="C208" s="4" t="s">
        <v>78</v>
      </c>
      <c r="D208" s="4" t="s">
        <v>172</v>
      </c>
      <c r="E208" s="4" t="s">
        <v>173</v>
      </c>
      <c r="F208" s="9">
        <v>6000</v>
      </c>
      <c r="G208" s="4" t="s">
        <v>43</v>
      </c>
      <c r="H208" s="10">
        <v>10800</v>
      </c>
      <c r="I208" s="10">
        <v>2568</v>
      </c>
      <c r="J208" s="10">
        <v>8232</v>
      </c>
      <c r="K208" s="10">
        <f>IF(H208 = 0, 0, 100 * (H208 - I208) / H208)</f>
        <v>76.222222222222229</v>
      </c>
    </row>
    <row r="209" spans="1:11" x14ac:dyDescent="0.25">
      <c r="A209" s="3"/>
      <c r="B209" s="8">
        <v>45688</v>
      </c>
      <c r="C209" s="4" t="s">
        <v>34</v>
      </c>
      <c r="D209" s="4" t="s">
        <v>174</v>
      </c>
      <c r="E209" s="4" t="s">
        <v>175</v>
      </c>
      <c r="F209" s="9">
        <v>20</v>
      </c>
      <c r="G209" s="4" t="s">
        <v>21</v>
      </c>
      <c r="H209" s="10">
        <v>121.6</v>
      </c>
      <c r="I209" s="10">
        <v>83.03</v>
      </c>
      <c r="J209" s="10">
        <v>38.57</v>
      </c>
      <c r="K209" s="10">
        <f>IF(H209 = 0, 0, 100 * (H209 - I209) / H209)</f>
        <v>31.718749999999993</v>
      </c>
    </row>
    <row r="210" spans="1:11" x14ac:dyDescent="0.25">
      <c r="A210" s="3"/>
      <c r="B210" s="8">
        <v>45747</v>
      </c>
      <c r="C210" s="4" t="s">
        <v>34</v>
      </c>
      <c r="D210" s="4" t="s">
        <v>176</v>
      </c>
      <c r="E210" s="4" t="s">
        <v>177</v>
      </c>
      <c r="F210" s="9">
        <v>50</v>
      </c>
      <c r="G210" s="4" t="s">
        <v>21</v>
      </c>
      <c r="H210" s="10">
        <v>243</v>
      </c>
      <c r="I210" s="10">
        <v>207.58</v>
      </c>
      <c r="J210" s="10">
        <v>35.42</v>
      </c>
      <c r="K210" s="10">
        <f>IF(H210 = 0, 0, 100 * (H210 - I210) / H210)</f>
        <v>14.576131687242793</v>
      </c>
    </row>
    <row r="211" spans="1:11" x14ac:dyDescent="0.25">
      <c r="A211" s="3"/>
      <c r="B211" s="8">
        <v>45747</v>
      </c>
      <c r="C211" s="4" t="s">
        <v>28</v>
      </c>
      <c r="D211" s="4" t="s">
        <v>176</v>
      </c>
      <c r="E211" s="4" t="s">
        <v>177</v>
      </c>
      <c r="F211" s="9">
        <v>50</v>
      </c>
      <c r="G211" s="4" t="s">
        <v>31</v>
      </c>
      <c r="H211" s="10">
        <v>111</v>
      </c>
      <c r="I211" s="10">
        <v>44</v>
      </c>
      <c r="J211" s="10">
        <v>67</v>
      </c>
      <c r="K211" s="10">
        <f>IF(H211 = 0, 0, 100 * (H211 - I211) / H211)</f>
        <v>60.36036036036036</v>
      </c>
    </row>
    <row r="212" spans="1:11" x14ac:dyDescent="0.25">
      <c r="A212" s="3"/>
      <c r="B212" s="8">
        <v>45747</v>
      </c>
      <c r="C212" s="4" t="s">
        <v>81</v>
      </c>
      <c r="D212" s="4" t="s">
        <v>178</v>
      </c>
      <c r="E212" s="4" t="s">
        <v>179</v>
      </c>
      <c r="F212" s="9">
        <v>10</v>
      </c>
      <c r="G212" s="4" t="s">
        <v>17</v>
      </c>
      <c r="H212" s="10">
        <v>47.5</v>
      </c>
      <c r="I212" s="10">
        <v>23.9</v>
      </c>
      <c r="J212" s="10">
        <v>23.6</v>
      </c>
      <c r="K212" s="10">
        <f>IF(H212 = 0, 0, 100 * (H212 - I212) / H212)</f>
        <v>49.684210526315788</v>
      </c>
    </row>
    <row r="213" spans="1:11" x14ac:dyDescent="0.25">
      <c r="A213" s="3"/>
      <c r="B213" s="8">
        <v>45747</v>
      </c>
      <c r="C213" s="4" t="s">
        <v>45</v>
      </c>
      <c r="D213" s="4" t="s">
        <v>178</v>
      </c>
      <c r="E213" s="4" t="s">
        <v>179</v>
      </c>
      <c r="F213" s="9">
        <v>100</v>
      </c>
      <c r="G213" s="4" t="s">
        <v>48</v>
      </c>
      <c r="H213" s="10">
        <v>935</v>
      </c>
      <c r="I213" s="10">
        <v>569</v>
      </c>
      <c r="J213" s="10">
        <v>366</v>
      </c>
      <c r="K213" s="10">
        <f>IF(H213 = 0, 0, 100 * (H213 - I213) / H213)</f>
        <v>39.144385026737964</v>
      </c>
    </row>
    <row r="214" spans="1:11" x14ac:dyDescent="0.25">
      <c r="A214" s="3"/>
      <c r="B214" s="8">
        <v>45747</v>
      </c>
      <c r="C214" s="4" t="s">
        <v>28</v>
      </c>
      <c r="D214" s="4" t="s">
        <v>180</v>
      </c>
      <c r="E214" s="4" t="s">
        <v>181</v>
      </c>
      <c r="F214" s="15">
        <v>-9</v>
      </c>
      <c r="G214" s="4" t="s">
        <v>31</v>
      </c>
      <c r="H214" s="14">
        <v>-19.98</v>
      </c>
      <c r="I214" s="14">
        <v>-8.6300000000000008</v>
      </c>
      <c r="J214" s="14">
        <v>-11.35</v>
      </c>
      <c r="K214" s="10">
        <f>IF(H214 = 0, 0, 100 * (H214 - I214) / H214)</f>
        <v>56.806806806806804</v>
      </c>
    </row>
    <row r="216" spans="1:11" ht="15.75" thickBot="1" x14ac:dyDescent="0.3">
      <c r="A216" s="3"/>
      <c r="B216" s="3"/>
      <c r="C216" s="3"/>
      <c r="D216" s="3"/>
      <c r="E216" s="3"/>
      <c r="F216" s="3"/>
      <c r="G216" s="3"/>
      <c r="H216" s="12">
        <f>SUBTOTAL(9,H205:H214)</f>
        <v>25238.12</v>
      </c>
      <c r="I216" s="12">
        <f>SUBTOTAL(9,I205:I214)</f>
        <v>13659.720000000001</v>
      </c>
      <c r="J216" s="12">
        <f>SUBTOTAL(9,J205:J214)</f>
        <v>11578.4</v>
      </c>
    </row>
    <row r="217" spans="1:11" ht="15.75" thickTop="1" x14ac:dyDescent="0.25"/>
    <row r="218" spans="1:11" x14ac:dyDescent="0.25">
      <c r="A218" s="7" t="s">
        <v>182</v>
      </c>
    </row>
    <row r="219" spans="1:11" x14ac:dyDescent="0.25">
      <c r="A219" s="3"/>
      <c r="B219" s="8">
        <v>45571</v>
      </c>
      <c r="C219" s="4" t="s">
        <v>109</v>
      </c>
      <c r="D219" s="4" t="s">
        <v>183</v>
      </c>
      <c r="E219" s="4" t="s">
        <v>184</v>
      </c>
      <c r="F219" s="9">
        <v>3.75</v>
      </c>
      <c r="G219" s="4" t="s">
        <v>33</v>
      </c>
      <c r="H219" s="10">
        <v>180</v>
      </c>
      <c r="I219" s="10">
        <v>21.63</v>
      </c>
      <c r="J219" s="10">
        <v>158.37</v>
      </c>
      <c r="K219" s="10">
        <f>IF(H219 = 0, 0, 100 * (H219 - I219) / H219)</f>
        <v>87.983333333333334</v>
      </c>
    </row>
    <row r="220" spans="1:11" x14ac:dyDescent="0.25">
      <c r="A220" s="3"/>
      <c r="B220" s="8">
        <v>45571</v>
      </c>
      <c r="C220" s="4" t="s">
        <v>32</v>
      </c>
      <c r="D220" s="4" t="s">
        <v>183</v>
      </c>
      <c r="E220" s="4" t="s">
        <v>184</v>
      </c>
      <c r="F220" s="9">
        <v>2.5</v>
      </c>
      <c r="G220" s="4" t="s">
        <v>33</v>
      </c>
      <c r="H220" s="10">
        <v>81</v>
      </c>
      <c r="I220" s="10">
        <v>12.17</v>
      </c>
      <c r="J220" s="10">
        <v>68.83</v>
      </c>
      <c r="K220" s="10">
        <f>IF(H220 = 0, 0, 100 * (H220 - I220) / H220)</f>
        <v>84.975308641975303</v>
      </c>
    </row>
    <row r="221" spans="1:11" x14ac:dyDescent="0.25">
      <c r="A221" s="3"/>
      <c r="B221" s="8">
        <v>45571</v>
      </c>
      <c r="C221" s="4" t="s">
        <v>106</v>
      </c>
      <c r="D221" s="4" t="s">
        <v>183</v>
      </c>
      <c r="E221" s="4" t="s">
        <v>184</v>
      </c>
      <c r="F221" s="9">
        <v>5</v>
      </c>
      <c r="G221" s="4" t="s">
        <v>33</v>
      </c>
      <c r="H221" s="11">
        <v>160</v>
      </c>
      <c r="I221" s="11">
        <v>24.81</v>
      </c>
      <c r="J221" s="11">
        <v>135.19</v>
      </c>
      <c r="K221" s="10">
        <f>IF(H221 = 0, 0, 100 * (H221 - I221) / H221)</f>
        <v>84.493750000000006</v>
      </c>
    </row>
    <row r="223" spans="1:11" ht="15.75" thickBot="1" x14ac:dyDescent="0.3">
      <c r="A223" s="3"/>
      <c r="B223" s="3"/>
      <c r="C223" s="3"/>
      <c r="D223" s="3"/>
      <c r="E223" s="3"/>
      <c r="F223" s="3"/>
      <c r="G223" s="3"/>
      <c r="H223" s="12">
        <f>SUBTOTAL(9,H219:H221)</f>
        <v>421</v>
      </c>
      <c r="I223" s="12">
        <f>SUBTOTAL(9,I219:I221)</f>
        <v>58.61</v>
      </c>
      <c r="J223" s="12">
        <f>SUBTOTAL(9,J219:J221)</f>
        <v>362.39</v>
      </c>
    </row>
    <row r="224" spans="1:11" ht="15.75" thickTop="1" x14ac:dyDescent="0.25"/>
    <row r="225" spans="1:11" x14ac:dyDescent="0.25">
      <c r="A225" s="7" t="s">
        <v>185</v>
      </c>
    </row>
    <row r="226" spans="1:11" x14ac:dyDescent="0.25">
      <c r="A226" s="3"/>
      <c r="B226" s="8">
        <v>45574</v>
      </c>
      <c r="C226" s="4" t="s">
        <v>72</v>
      </c>
      <c r="D226" s="4" t="s">
        <v>186</v>
      </c>
      <c r="E226" s="4" t="s">
        <v>187</v>
      </c>
      <c r="F226" s="9">
        <v>25</v>
      </c>
      <c r="G226" s="4" t="s">
        <v>21</v>
      </c>
      <c r="H226" s="10">
        <v>585.75</v>
      </c>
      <c r="I226" s="10">
        <v>283.25</v>
      </c>
      <c r="J226" s="10">
        <v>302.5</v>
      </c>
      <c r="K226" s="10">
        <f>IF(H226 = 0, 0, 100 * (H226 - I226) / H226)</f>
        <v>51.643192488262912</v>
      </c>
    </row>
    <row r="227" spans="1:11" x14ac:dyDescent="0.25">
      <c r="A227" s="3"/>
      <c r="B227" s="8">
        <v>45574</v>
      </c>
      <c r="C227" s="4" t="s">
        <v>100</v>
      </c>
      <c r="D227" s="4" t="s">
        <v>186</v>
      </c>
      <c r="E227" s="4" t="s">
        <v>187</v>
      </c>
      <c r="F227" s="9">
        <v>10</v>
      </c>
      <c r="G227" s="4" t="s">
        <v>21</v>
      </c>
      <c r="H227" s="10">
        <v>248.5</v>
      </c>
      <c r="I227" s="10">
        <v>103.3</v>
      </c>
      <c r="J227" s="10">
        <v>145.19999999999999</v>
      </c>
      <c r="K227" s="10">
        <f>IF(H227 = 0, 0, 100 * (H227 - I227) / H227)</f>
        <v>58.430583501006026</v>
      </c>
    </row>
    <row r="228" spans="1:11" x14ac:dyDescent="0.25">
      <c r="A228" s="3"/>
      <c r="B228" s="8">
        <v>45574</v>
      </c>
      <c r="C228" s="4" t="s">
        <v>116</v>
      </c>
      <c r="D228" s="4" t="s">
        <v>186</v>
      </c>
      <c r="E228" s="4" t="s">
        <v>187</v>
      </c>
      <c r="F228" s="9">
        <v>750</v>
      </c>
      <c r="G228" s="4" t="s">
        <v>43</v>
      </c>
      <c r="H228" s="10">
        <v>2023.5</v>
      </c>
      <c r="I228" s="10">
        <v>151.19999999999999</v>
      </c>
      <c r="J228" s="10">
        <v>1872.3</v>
      </c>
      <c r="K228" s="10">
        <f>IF(H228 = 0, 0, 100 * (H228 - I228) / H228)</f>
        <v>92.52779836916234</v>
      </c>
    </row>
    <row r="229" spans="1:11" x14ac:dyDescent="0.25">
      <c r="A229" s="3"/>
      <c r="B229" s="8">
        <v>45574</v>
      </c>
      <c r="C229" s="4" t="s">
        <v>42</v>
      </c>
      <c r="D229" s="4" t="s">
        <v>186</v>
      </c>
      <c r="E229" s="4" t="s">
        <v>187</v>
      </c>
      <c r="F229" s="9">
        <v>250</v>
      </c>
      <c r="G229" s="4" t="s">
        <v>43</v>
      </c>
      <c r="H229" s="10">
        <v>447.3</v>
      </c>
      <c r="I229" s="10">
        <v>250.78</v>
      </c>
      <c r="J229" s="10">
        <v>196.52</v>
      </c>
      <c r="K229" s="10">
        <f>IF(H229 = 0, 0, 100 * (H229 - I229) / H229)</f>
        <v>43.934719427677173</v>
      </c>
    </row>
    <row r="230" spans="1:11" x14ac:dyDescent="0.25">
      <c r="A230" s="3"/>
      <c r="B230" s="8">
        <v>45574</v>
      </c>
      <c r="C230" s="4" t="s">
        <v>26</v>
      </c>
      <c r="D230" s="4" t="s">
        <v>186</v>
      </c>
      <c r="E230" s="4" t="s">
        <v>187</v>
      </c>
      <c r="F230" s="9">
        <v>0</v>
      </c>
      <c r="G230" s="3"/>
      <c r="H230" s="10">
        <v>710</v>
      </c>
      <c r="I230" s="10">
        <v>0</v>
      </c>
      <c r="J230" s="10">
        <v>710</v>
      </c>
      <c r="K230" s="10">
        <f>IF(H230 = 0, 0, 100 * (H230 - I230) / H230)</f>
        <v>100</v>
      </c>
    </row>
    <row r="231" spans="1:11" x14ac:dyDescent="0.25">
      <c r="A231" s="3"/>
      <c r="B231" s="8">
        <v>45727</v>
      </c>
      <c r="C231" s="4" t="s">
        <v>116</v>
      </c>
      <c r="D231" s="4" t="s">
        <v>132</v>
      </c>
      <c r="E231" s="4" t="s">
        <v>188</v>
      </c>
      <c r="F231" s="9">
        <v>1000</v>
      </c>
      <c r="G231" s="4" t="s">
        <v>43</v>
      </c>
      <c r="H231" s="10">
        <v>3862.4</v>
      </c>
      <c r="I231" s="10">
        <v>201.6</v>
      </c>
      <c r="J231" s="10">
        <v>3660.8</v>
      </c>
      <c r="K231" s="10">
        <f>IF(H231 = 0, 0, 100 * (H231 - I231) / H231)</f>
        <v>94.780447390223699</v>
      </c>
    </row>
    <row r="232" spans="1:11" x14ac:dyDescent="0.25">
      <c r="A232" s="3"/>
      <c r="B232" s="8">
        <v>45727</v>
      </c>
      <c r="C232" s="4" t="s">
        <v>72</v>
      </c>
      <c r="D232" s="4" t="s">
        <v>132</v>
      </c>
      <c r="E232" s="4" t="s">
        <v>188</v>
      </c>
      <c r="F232" s="9">
        <v>100</v>
      </c>
      <c r="G232" s="4" t="s">
        <v>21</v>
      </c>
      <c r="H232" s="10">
        <v>3190.74</v>
      </c>
      <c r="I232" s="10">
        <v>1100</v>
      </c>
      <c r="J232" s="10">
        <v>2090.7399999999998</v>
      </c>
      <c r="K232" s="10">
        <f>IF(H232 = 0, 0, 100 * (H232 - I232) / H232)</f>
        <v>65.525238659370544</v>
      </c>
    </row>
    <row r="233" spans="1:11" x14ac:dyDescent="0.25">
      <c r="A233" s="3"/>
      <c r="B233" s="8">
        <v>45727</v>
      </c>
      <c r="C233" s="4" t="s">
        <v>26</v>
      </c>
      <c r="D233" s="4" t="s">
        <v>132</v>
      </c>
      <c r="E233" s="4" t="s">
        <v>188</v>
      </c>
      <c r="F233" s="9">
        <v>0</v>
      </c>
      <c r="G233" s="3"/>
      <c r="H233" s="10">
        <v>426</v>
      </c>
      <c r="I233" s="10">
        <v>0</v>
      </c>
      <c r="J233" s="10">
        <v>426</v>
      </c>
      <c r="K233" s="10">
        <f>IF(H233 = 0, 0, 100 * (H233 - I233) / H233)</f>
        <v>100</v>
      </c>
    </row>
    <row r="234" spans="1:11" x14ac:dyDescent="0.25">
      <c r="A234" s="3"/>
      <c r="B234" s="8">
        <v>45747</v>
      </c>
      <c r="C234" s="4" t="s">
        <v>189</v>
      </c>
      <c r="D234" s="4" t="s">
        <v>190</v>
      </c>
      <c r="E234" s="4" t="s">
        <v>191</v>
      </c>
      <c r="F234" s="9">
        <v>1</v>
      </c>
      <c r="G234" s="4" t="s">
        <v>17</v>
      </c>
      <c r="H234" s="10">
        <v>800</v>
      </c>
      <c r="I234" s="10">
        <v>20.28</v>
      </c>
      <c r="J234" s="10">
        <v>779.72</v>
      </c>
      <c r="K234" s="10">
        <f>IF(H234 = 0, 0, 100 * (H234 - I234) / H234)</f>
        <v>97.465000000000003</v>
      </c>
    </row>
    <row r="235" spans="1:11" x14ac:dyDescent="0.25">
      <c r="A235" s="3"/>
      <c r="B235" s="8">
        <v>45747</v>
      </c>
      <c r="C235" s="4" t="s">
        <v>26</v>
      </c>
      <c r="D235" s="4" t="s">
        <v>190</v>
      </c>
      <c r="E235" s="4" t="s">
        <v>191</v>
      </c>
      <c r="F235" s="9">
        <v>0</v>
      </c>
      <c r="G235" s="3"/>
      <c r="H235" s="10">
        <v>59.2</v>
      </c>
      <c r="I235" s="10">
        <v>0</v>
      </c>
      <c r="J235" s="10">
        <v>59.2</v>
      </c>
      <c r="K235" s="10">
        <f>IF(H235 = 0, 0, 100 * (H235 - I235) / H235)</f>
        <v>100</v>
      </c>
    </row>
    <row r="236" spans="1:11" x14ac:dyDescent="0.25">
      <c r="A236" s="3"/>
      <c r="B236" s="8">
        <v>45747</v>
      </c>
      <c r="C236" s="4" t="s">
        <v>72</v>
      </c>
      <c r="D236" s="4" t="s">
        <v>192</v>
      </c>
      <c r="E236" s="4" t="s">
        <v>193</v>
      </c>
      <c r="F236" s="9">
        <v>10</v>
      </c>
      <c r="G236" s="4" t="s">
        <v>21</v>
      </c>
      <c r="H236" s="10">
        <v>332.56</v>
      </c>
      <c r="I236" s="10">
        <v>110</v>
      </c>
      <c r="J236" s="10">
        <v>222.56</v>
      </c>
      <c r="K236" s="10">
        <f>IF(H236 = 0, 0, 100 * (H236 - I236) / H236)</f>
        <v>66.923261967765214</v>
      </c>
    </row>
    <row r="237" spans="1:11" x14ac:dyDescent="0.25">
      <c r="A237" s="3"/>
      <c r="B237" s="8">
        <v>45747</v>
      </c>
      <c r="C237" s="4" t="s">
        <v>26</v>
      </c>
      <c r="D237" s="4" t="s">
        <v>192</v>
      </c>
      <c r="E237" s="4" t="s">
        <v>193</v>
      </c>
      <c r="F237" s="9">
        <v>0</v>
      </c>
      <c r="G237" s="3"/>
      <c r="H237" s="11">
        <v>14.8</v>
      </c>
      <c r="I237" s="11">
        <v>0</v>
      </c>
      <c r="J237" s="11">
        <v>14.8</v>
      </c>
      <c r="K237" s="10">
        <f>IF(H237 = 0, 0, 100 * (H237 - I237) / H237)</f>
        <v>100</v>
      </c>
    </row>
    <row r="239" spans="1:11" ht="15.75" thickBot="1" x14ac:dyDescent="0.3">
      <c r="A239" s="3"/>
      <c r="B239" s="3"/>
      <c r="C239" s="3"/>
      <c r="D239" s="3"/>
      <c r="E239" s="3"/>
      <c r="F239" s="3"/>
      <c r="G239" s="3"/>
      <c r="H239" s="12">
        <f>SUBTOTAL(9,H226:H237)</f>
        <v>12700.75</v>
      </c>
      <c r="I239" s="12">
        <f>SUBTOTAL(9,I226:I237)</f>
        <v>2220.4100000000003</v>
      </c>
      <c r="J239" s="12">
        <f>SUBTOTAL(9,J226:J237)</f>
        <v>10480.339999999998</v>
      </c>
    </row>
    <row r="240" spans="1:11" ht="15.75" thickTop="1" x14ac:dyDescent="0.25"/>
    <row r="241" spans="1:11" x14ac:dyDescent="0.25">
      <c r="A241" s="7" t="s">
        <v>194</v>
      </c>
    </row>
    <row r="242" spans="1:11" x14ac:dyDescent="0.25">
      <c r="A242" s="3"/>
      <c r="B242" s="8">
        <v>45675</v>
      </c>
      <c r="C242" s="4" t="s">
        <v>20</v>
      </c>
      <c r="D242" s="4" t="s">
        <v>195</v>
      </c>
      <c r="E242" s="4" t="s">
        <v>196</v>
      </c>
      <c r="F242" s="9">
        <v>250</v>
      </c>
      <c r="G242" s="4" t="s">
        <v>21</v>
      </c>
      <c r="H242" s="10">
        <v>6837.5</v>
      </c>
      <c r="I242" s="10">
        <v>2218.6</v>
      </c>
      <c r="J242" s="10">
        <v>4618.8999999999996</v>
      </c>
      <c r="K242" s="10">
        <f>IF(H242 = 0, 0, 100 * (H242 - I242) / H242)</f>
        <v>67.552468007312612</v>
      </c>
    </row>
    <row r="243" spans="1:11" x14ac:dyDescent="0.25">
      <c r="A243" s="3"/>
      <c r="B243" s="8">
        <v>45675</v>
      </c>
      <c r="C243" s="4" t="s">
        <v>94</v>
      </c>
      <c r="D243" s="4" t="s">
        <v>195</v>
      </c>
      <c r="E243" s="4" t="s">
        <v>196</v>
      </c>
      <c r="F243" s="9">
        <v>150</v>
      </c>
      <c r="G243" s="4" t="s">
        <v>21</v>
      </c>
      <c r="H243" s="10">
        <v>1837.5</v>
      </c>
      <c r="I243" s="10">
        <v>986.54</v>
      </c>
      <c r="J243" s="10">
        <v>850.96</v>
      </c>
      <c r="K243" s="10">
        <f>IF(H243 = 0, 0, 100 * (H243 - I243) / H243)</f>
        <v>46.310748299319727</v>
      </c>
    </row>
    <row r="244" spans="1:11" x14ac:dyDescent="0.25">
      <c r="A244" s="3"/>
      <c r="B244" s="8">
        <v>45675</v>
      </c>
      <c r="C244" s="4" t="s">
        <v>26</v>
      </c>
      <c r="D244" s="4" t="s">
        <v>195</v>
      </c>
      <c r="E244" s="4" t="s">
        <v>196</v>
      </c>
      <c r="F244" s="9">
        <v>0</v>
      </c>
      <c r="G244" s="3"/>
      <c r="H244" s="11">
        <v>440</v>
      </c>
      <c r="I244" s="11">
        <v>0</v>
      </c>
      <c r="J244" s="11">
        <v>440</v>
      </c>
      <c r="K244" s="10">
        <f>IF(H244 = 0, 0, 100 * (H244 - I244) / H244)</f>
        <v>100</v>
      </c>
    </row>
    <row r="246" spans="1:11" ht="15.75" thickBot="1" x14ac:dyDescent="0.3">
      <c r="A246" s="3"/>
      <c r="B246" s="3"/>
      <c r="C246" s="3"/>
      <c r="D246" s="3"/>
      <c r="E246" s="3"/>
      <c r="F246" s="3"/>
      <c r="G246" s="3"/>
      <c r="H246" s="12">
        <f>SUBTOTAL(9,H242:H244)</f>
        <v>9115</v>
      </c>
      <c r="I246" s="12">
        <f>SUBTOTAL(9,I242:I244)</f>
        <v>3205.14</v>
      </c>
      <c r="J246" s="12">
        <f>SUBTOTAL(9,J242:J244)</f>
        <v>5909.86</v>
      </c>
    </row>
    <row r="247" spans="1:11" ht="15.75" thickTop="1" x14ac:dyDescent="0.25"/>
    <row r="248" spans="1:11" x14ac:dyDescent="0.25">
      <c r="A248" s="7" t="s">
        <v>197</v>
      </c>
    </row>
    <row r="249" spans="1:11" x14ac:dyDescent="0.25">
      <c r="A249" s="3"/>
      <c r="B249" s="8">
        <v>45643</v>
      </c>
      <c r="C249" s="4" t="s">
        <v>42</v>
      </c>
      <c r="D249" s="4" t="s">
        <v>198</v>
      </c>
      <c r="E249" s="4" t="s">
        <v>199</v>
      </c>
      <c r="F249" s="9">
        <v>8000</v>
      </c>
      <c r="G249" s="4" t="s">
        <v>43</v>
      </c>
      <c r="H249" s="10">
        <v>16800</v>
      </c>
      <c r="I249" s="10">
        <v>9299.85</v>
      </c>
      <c r="J249" s="10">
        <v>7500.15</v>
      </c>
      <c r="K249" s="10">
        <f>IF(H249 = 0, 0, 100 * (H249 - I249) / H249)</f>
        <v>44.643749999999997</v>
      </c>
    </row>
    <row r="250" spans="1:11" x14ac:dyDescent="0.25">
      <c r="A250" s="3"/>
      <c r="B250" s="8">
        <v>45643</v>
      </c>
      <c r="C250" s="4" t="s">
        <v>100</v>
      </c>
      <c r="D250" s="4" t="s">
        <v>198</v>
      </c>
      <c r="E250" s="4" t="s">
        <v>199</v>
      </c>
      <c r="F250" s="9">
        <v>300</v>
      </c>
      <c r="G250" s="4" t="s">
        <v>21</v>
      </c>
      <c r="H250" s="11">
        <v>5250</v>
      </c>
      <c r="I250" s="11">
        <v>3099</v>
      </c>
      <c r="J250" s="11">
        <v>2151</v>
      </c>
      <c r="K250" s="10">
        <f>IF(H250 = 0, 0, 100 * (H250 - I250) / H250)</f>
        <v>40.971428571428568</v>
      </c>
    </row>
    <row r="252" spans="1:11" ht="15.75" thickBot="1" x14ac:dyDescent="0.3">
      <c r="A252" s="3"/>
      <c r="B252" s="3"/>
      <c r="C252" s="3"/>
      <c r="D252" s="3"/>
      <c r="E252" s="3"/>
      <c r="F252" s="3"/>
      <c r="G252" s="3"/>
      <c r="H252" s="12">
        <f>SUBTOTAL(9,H249:H250)</f>
        <v>22050</v>
      </c>
      <c r="I252" s="12">
        <f>SUBTOTAL(9,I249:I250)</f>
        <v>12398.85</v>
      </c>
      <c r="J252" s="12">
        <f>SUBTOTAL(9,J249:J250)</f>
        <v>9651.15</v>
      </c>
    </row>
    <row r="253" spans="1:11" ht="15.75" thickTop="1" x14ac:dyDescent="0.25">
      <c r="A253" s="16" t="s">
        <v>200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</sheetData>
  <mergeCells count="1">
    <mergeCell ref="A253:K2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Warr</dc:creator>
  <cp:lastModifiedBy>Leonie Warr</cp:lastModifiedBy>
  <dcterms:created xsi:type="dcterms:W3CDTF">2026-07-23T03:04:38Z</dcterms:created>
  <dcterms:modified xsi:type="dcterms:W3CDTF">2026-07-23T03:04:49Z</dcterms:modified>
</cp:coreProperties>
</file>