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rr\Desktop\AFDATOOL\Sage 50 Reports\"/>
    </mc:Choice>
  </mc:AlternateContent>
  <xr:revisionPtr revIDLastSave="0" documentId="8_{295B4D57-E3E0-4827-B1B3-3861D0D53042}" xr6:coauthVersionLast="47" xr6:coauthVersionMax="47" xr10:uidLastSave="{00000000-0000-0000-0000-000000000000}"/>
  <bookViews>
    <workbookView xWindow="2205" yWindow="2205" windowWidth="21600" windowHeight="11295" xr2:uid="{4E57C5B4-9389-4723-BF8F-8C6E5F790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4" i="1" l="1"/>
  <c r="C132" i="1"/>
  <c r="C130" i="1"/>
  <c r="C125" i="1"/>
  <c r="C118" i="1"/>
  <c r="C116" i="1"/>
  <c r="C110" i="1"/>
  <c r="C107" i="1"/>
  <c r="C87" i="1"/>
  <c r="C76" i="1"/>
  <c r="C67" i="1"/>
  <c r="C65" i="1"/>
  <c r="C60" i="1"/>
  <c r="C58" i="1"/>
  <c r="C55" i="1"/>
  <c r="C52" i="1"/>
  <c r="C49" i="1"/>
  <c r="C46" i="1"/>
  <c r="C43" i="1"/>
  <c r="C38" i="1"/>
  <c r="C30" i="1"/>
  <c r="C26" i="1"/>
  <c r="C20" i="1"/>
  <c r="C15" i="1"/>
</calcChain>
</file>

<file path=xl/sharedStrings.xml><?xml version="1.0" encoding="utf-8"?>
<sst xmlns="http://schemas.openxmlformats.org/spreadsheetml/2006/main" count="138" uniqueCount="133">
  <si>
    <t>UNIVERSAL CONSTRUCTION</t>
  </si>
  <si>
    <t>Balance Sheet As at Mar 31, 2025</t>
  </si>
  <si>
    <t/>
  </si>
  <si>
    <t xml:space="preserve"> </t>
  </si>
  <si>
    <t>ASSET</t>
  </si>
  <si>
    <t>Current Assets</t>
  </si>
  <si>
    <t>Cash to be deposited</t>
  </si>
  <si>
    <t>Cash Draws</t>
  </si>
  <si>
    <t>Petty Cash</t>
  </si>
  <si>
    <t>Regal Bank Savings</t>
  </si>
  <si>
    <t>Regal Bank Current</t>
  </si>
  <si>
    <t>Regal Bank: US Dollar</t>
  </si>
  <si>
    <t>Oakville Dominion Bank: Payroll</t>
  </si>
  <si>
    <t>Total Cash</t>
  </si>
  <si>
    <t>Visa</t>
  </si>
  <si>
    <t>MasterCard</t>
  </si>
  <si>
    <t>American Express</t>
  </si>
  <si>
    <t>Other Credit Cards</t>
  </si>
  <si>
    <t>Total Credit Cards Receivable</t>
  </si>
  <si>
    <t>Investments</t>
  </si>
  <si>
    <t>Accounts Receivable</t>
  </si>
  <si>
    <t>Allowance for Doubtful Accounts</t>
  </si>
  <si>
    <t>Holdbacks Receivable</t>
  </si>
  <si>
    <t>Payroll Advances</t>
  </si>
  <si>
    <t>Total Receivable</t>
  </si>
  <si>
    <t>Purchase Prepayments</t>
  </si>
  <si>
    <t>Uninvoiced Goods &amp; Services</t>
  </si>
  <si>
    <t>Prepaid Expenses</t>
  </si>
  <si>
    <t>Total Current Assets</t>
  </si>
  <si>
    <t>Inventory Assets</t>
  </si>
  <si>
    <t>Drywall</t>
  </si>
  <si>
    <t>Hardware</t>
  </si>
  <si>
    <t>Lumber</t>
  </si>
  <si>
    <t>Roofing Material</t>
  </si>
  <si>
    <t>Other Inventory</t>
  </si>
  <si>
    <t>Total Inventory Assets (Note 1)</t>
  </si>
  <si>
    <t>Capital Assets</t>
  </si>
  <si>
    <t>Furniture &amp; Fixtures</t>
  </si>
  <si>
    <t>Accum Amort: Furniture &amp; Fixtures</t>
  </si>
  <si>
    <t>Furniture &amp; Fixtures: Net</t>
  </si>
  <si>
    <t>Equipment</t>
  </si>
  <si>
    <t>Accum Amort: Equipment</t>
  </si>
  <si>
    <t>Equipment: Net</t>
  </si>
  <si>
    <t>Leasehold Improvements</t>
  </si>
  <si>
    <t>Accum Amort: Leasehold Improvements</t>
  </si>
  <si>
    <t>Leasehold Improvements: Net</t>
  </si>
  <si>
    <t>Vehicles</t>
  </si>
  <si>
    <t>Accum. Amort: Vehicles</t>
  </si>
  <si>
    <t>Vehicles: Net</t>
  </si>
  <si>
    <t>Computer Equip./Software</t>
  </si>
  <si>
    <t>Accum Amort: Comp. Equip./Software</t>
  </si>
  <si>
    <t>Computer Equip./Software: Net</t>
  </si>
  <si>
    <t>Building</t>
  </si>
  <si>
    <t>Accum Amort: Building</t>
  </si>
  <si>
    <t>Building: Net</t>
  </si>
  <si>
    <t>Land</t>
  </si>
  <si>
    <t>Total Capital Assets (Note 2)</t>
  </si>
  <si>
    <t>Other Non-Current Assets</t>
  </si>
  <si>
    <t>Goodwill</t>
  </si>
  <si>
    <t>Accum Amort: Goodwill</t>
  </si>
  <si>
    <t>Total Other Non-Current Assets</t>
  </si>
  <si>
    <t>TOTAL ASSET</t>
  </si>
  <si>
    <t>LIABILITY</t>
  </si>
  <si>
    <t>Current Liabilities</t>
  </si>
  <si>
    <t>Accounts Payable</t>
  </si>
  <si>
    <t>AMEX Payable</t>
  </si>
  <si>
    <t>Mastercard Payable</t>
  </si>
  <si>
    <t>Visa Payable</t>
  </si>
  <si>
    <t>Credit Card Payable</t>
  </si>
  <si>
    <t>Import Duty Clearing</t>
  </si>
  <si>
    <t>Bank Loan - Current Portion</t>
  </si>
  <si>
    <t>Bank Advances</t>
  </si>
  <si>
    <t>Corporate Taxes payable</t>
  </si>
  <si>
    <t>Vacation payable</t>
  </si>
  <si>
    <t>EI Payable</t>
  </si>
  <si>
    <t>CPP Payable</t>
  </si>
  <si>
    <t>QPP Payable</t>
  </si>
  <si>
    <t>Federal Income Tax Payable</t>
  </si>
  <si>
    <t>Quebec Income Tax Payable</t>
  </si>
  <si>
    <t>Source Deductions</t>
  </si>
  <si>
    <t>WCB Payable</t>
  </si>
  <si>
    <t>EHT Payable</t>
  </si>
  <si>
    <t>QHSF Payable</t>
  </si>
  <si>
    <t>QPIP Payable</t>
  </si>
  <si>
    <t>RRSP Payable</t>
  </si>
  <si>
    <t>RRSP - Employers Share</t>
  </si>
  <si>
    <t>Union Pension Payable</t>
  </si>
  <si>
    <t>Union Pension - Employers Share</t>
  </si>
  <si>
    <t>Medical Payable</t>
  </si>
  <si>
    <t>Medical Payable - Employers Share</t>
  </si>
  <si>
    <t>Short Term Disability</t>
  </si>
  <si>
    <t>Long Term Disability</t>
  </si>
  <si>
    <t>Charitable Donations</t>
  </si>
  <si>
    <t>Garnishment</t>
  </si>
  <si>
    <t>PST Payable</t>
  </si>
  <si>
    <t>GST Charged on Sales</t>
  </si>
  <si>
    <t>GST Paid on Purchases</t>
  </si>
  <si>
    <t>GST Payroll Deductions</t>
  </si>
  <si>
    <t>GST Adjustments</t>
  </si>
  <si>
    <t>GST: Net (Note 3)</t>
  </si>
  <si>
    <t>Prepaid Sales/Deposits</t>
  </si>
  <si>
    <t>Goods Received - Not Invoiced</t>
  </si>
  <si>
    <t>Total Current liabilities</t>
  </si>
  <si>
    <t>Long Term liabilities</t>
  </si>
  <si>
    <t>Bank Loans</t>
  </si>
  <si>
    <t>Mortgage Payable</t>
  </si>
  <si>
    <t>Loans from Shareholders</t>
  </si>
  <si>
    <t>Total Long Term liabilities</t>
  </si>
  <si>
    <t>TOTAL LIABILITY</t>
  </si>
  <si>
    <t>EQUITY</t>
  </si>
  <si>
    <t>Share Capital</t>
  </si>
  <si>
    <t>Common Shares</t>
  </si>
  <si>
    <t>Preferred Shares</t>
  </si>
  <si>
    <t>Total Share Capital (Note 4)</t>
  </si>
  <si>
    <t>Retained Earnings</t>
  </si>
  <si>
    <t>Retained Earnings - Previous Year</t>
  </si>
  <si>
    <t>Current Earnings</t>
  </si>
  <si>
    <t>Total Retained Earnings</t>
  </si>
  <si>
    <t>TOTAL EQUITY</t>
  </si>
  <si>
    <t>LIABILITIES AND EQUITY</t>
  </si>
  <si>
    <t>Note 1: Total Inventory Assets</t>
  </si>
  <si>
    <t xml:space="preserve">        Before July 1, 2014, the inventory valuation method was based on Average Cost._x000D_</t>
  </si>
  <si>
    <t xml:space="preserve">        _x000D_</t>
  </si>
  <si>
    <t xml:space="preserve">        On July 1, 2014, the inventory valuation method was changed from Average Cost to FIFO.</t>
  </si>
  <si>
    <t>Note 2: Total Capital Assets</t>
  </si>
  <si>
    <t xml:space="preserve">        Capital assets are recorded at cost.  Amortization is calculated on the straight-line basis.</t>
  </si>
  <si>
    <t>Note 3: GST: Net</t>
  </si>
  <si>
    <t xml:space="preserve">        From July 1st, 2014, the effective GST rate is changed from 7% to 6%.</t>
  </si>
  <si>
    <t>Note 4: Total Share Capital</t>
  </si>
  <si>
    <t xml:space="preserve">        Authorized: 5,000,000 no par value common shares.</t>
  </si>
  <si>
    <t>Generated On: Jul 22, 2026</t>
  </si>
  <si>
    <t>Un-audited financial statements</t>
  </si>
  <si>
    <t>Prepared by: 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</si>
</sst>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(#,##0.00\)"/>
  </numFmts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0" xfId="0" quotePrefix="1" applyNumberFormat="1" applyFont="1" applyAlignment="1">
      <alignment horizontal="center"/>
    </xf>
    <xf numFmtId="0" fontId="4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quotePrefix="1" applyNumberFormat="1" applyFont="1" applyAlignment="1">
      <alignment horizontal="left"/>
    </xf>
    <xf numFmtId="0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4F38-CF4E-4D91-A430-1BA42D785F56}">
  <dimension ref="A1:D152"/>
  <sheetViews>
    <sheetView showGridLines="0"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69.7109375" bestFit="1" customWidth="1"/>
    <col min="2" max="3" width="10.42578125" bestFit="1" customWidth="1"/>
    <col min="4" max="4" width="13.7109375" customWidth="1"/>
  </cols>
  <sheetData>
    <row r="1" spans="1:4" ht="18" x14ac:dyDescent="0.25">
      <c r="A1" s="1" t="s">
        <v>0</v>
      </c>
      <c r="B1" s="1"/>
      <c r="C1" s="1"/>
      <c r="D1" s="1"/>
    </row>
    <row r="2" spans="1:4" ht="18" x14ac:dyDescent="0.25">
      <c r="A2" s="2" t="s">
        <v>1</v>
      </c>
      <c r="B2" s="2"/>
      <c r="C2" s="2"/>
      <c r="D2" s="2"/>
    </row>
    <row r="3" spans="1:4" ht="18" x14ac:dyDescent="0.25">
      <c r="A3" s="2" t="s">
        <v>2</v>
      </c>
      <c r="B3" s="2"/>
      <c r="C3" s="2"/>
      <c r="D3" s="2"/>
    </row>
    <row r="4" spans="1:4" x14ac:dyDescent="0.25">
      <c r="A4" s="4" t="s">
        <v>3</v>
      </c>
      <c r="B4" s="5" t="s">
        <v>2</v>
      </c>
    </row>
    <row r="5" spans="1:4" x14ac:dyDescent="0.25">
      <c r="A5" s="6" t="s">
        <v>4</v>
      </c>
    </row>
    <row r="7" spans="1:4" x14ac:dyDescent="0.25">
      <c r="A7" s="6" t="s">
        <v>5</v>
      </c>
    </row>
    <row r="8" spans="1:4" x14ac:dyDescent="0.25">
      <c r="A8" s="4" t="s">
        <v>6</v>
      </c>
      <c r="B8" s="7">
        <v>0</v>
      </c>
    </row>
    <row r="9" spans="1:4" x14ac:dyDescent="0.25">
      <c r="A9" s="4" t="s">
        <v>7</v>
      </c>
      <c r="B9" s="7">
        <v>0</v>
      </c>
    </row>
    <row r="10" spans="1:4" x14ac:dyDescent="0.25">
      <c r="A10" s="4" t="s">
        <v>8</v>
      </c>
      <c r="B10" s="7">
        <v>0</v>
      </c>
    </row>
    <row r="11" spans="1:4" x14ac:dyDescent="0.25">
      <c r="A11" s="4" t="s">
        <v>9</v>
      </c>
      <c r="B11" s="7">
        <v>50000</v>
      </c>
    </row>
    <row r="12" spans="1:4" x14ac:dyDescent="0.25">
      <c r="A12" s="4" t="s">
        <v>10</v>
      </c>
      <c r="B12" s="7">
        <v>179537.93</v>
      </c>
    </row>
    <row r="13" spans="1:4" x14ac:dyDescent="0.25">
      <c r="A13" s="4" t="s">
        <v>11</v>
      </c>
      <c r="B13" s="7">
        <v>10679.17</v>
      </c>
    </row>
    <row r="14" spans="1:4" x14ac:dyDescent="0.25">
      <c r="A14" s="4" t="s">
        <v>12</v>
      </c>
      <c r="B14" s="8">
        <v>-33203.589999999997</v>
      </c>
    </row>
    <row r="15" spans="1:4" x14ac:dyDescent="0.25">
      <c r="A15" s="4" t="s">
        <v>13</v>
      </c>
      <c r="B15" s="3"/>
      <c r="C15" s="7">
        <f>(B8+B9+B10+B11+B12+B13+B14)</f>
        <v>207013.51</v>
      </c>
    </row>
    <row r="16" spans="1:4" x14ac:dyDescent="0.25">
      <c r="A16" s="4" t="s">
        <v>14</v>
      </c>
      <c r="B16" s="7">
        <v>0</v>
      </c>
    </row>
    <row r="17" spans="1:3" x14ac:dyDescent="0.25">
      <c r="A17" s="4" t="s">
        <v>15</v>
      </c>
      <c r="B17" s="7">
        <v>0</v>
      </c>
    </row>
    <row r="18" spans="1:3" x14ac:dyDescent="0.25">
      <c r="A18" s="4" t="s">
        <v>16</v>
      </c>
      <c r="B18" s="7">
        <v>10374</v>
      </c>
    </row>
    <row r="19" spans="1:3" x14ac:dyDescent="0.25">
      <c r="A19" s="4" t="s">
        <v>17</v>
      </c>
      <c r="B19" s="9">
        <v>0</v>
      </c>
    </row>
    <row r="20" spans="1:3" x14ac:dyDescent="0.25">
      <c r="A20" s="4" t="s">
        <v>18</v>
      </c>
      <c r="B20" s="3"/>
      <c r="C20" s="7">
        <f>(B16+B17+B18+B19)</f>
        <v>10374</v>
      </c>
    </row>
    <row r="21" spans="1:3" x14ac:dyDescent="0.25">
      <c r="A21" s="4" t="s">
        <v>19</v>
      </c>
      <c r="B21" s="3"/>
      <c r="C21" s="7">
        <v>0</v>
      </c>
    </row>
    <row r="22" spans="1:3" x14ac:dyDescent="0.25">
      <c r="A22" s="4" t="s">
        <v>20</v>
      </c>
      <c r="B22" s="7">
        <v>359348.69</v>
      </c>
    </row>
    <row r="23" spans="1:3" x14ac:dyDescent="0.25">
      <c r="A23" s="4" t="s">
        <v>21</v>
      </c>
      <c r="B23" s="7">
        <v>0</v>
      </c>
    </row>
    <row r="24" spans="1:3" x14ac:dyDescent="0.25">
      <c r="A24" s="4" t="s">
        <v>22</v>
      </c>
      <c r="B24" s="7">
        <v>0</v>
      </c>
    </row>
    <row r="25" spans="1:3" x14ac:dyDescent="0.25">
      <c r="A25" s="4" t="s">
        <v>23</v>
      </c>
      <c r="B25" s="9">
        <v>0</v>
      </c>
    </row>
    <row r="26" spans="1:3" x14ac:dyDescent="0.25">
      <c r="A26" s="4" t="s">
        <v>24</v>
      </c>
      <c r="B26" s="3"/>
      <c r="C26" s="7">
        <f>(B22+B23+B24+B25)</f>
        <v>359348.69</v>
      </c>
    </row>
    <row r="27" spans="1:3" x14ac:dyDescent="0.25">
      <c r="A27" s="4" t="s">
        <v>25</v>
      </c>
      <c r="B27" s="3"/>
      <c r="C27" s="7">
        <v>0</v>
      </c>
    </row>
    <row r="28" spans="1:3" x14ac:dyDescent="0.25">
      <c r="A28" s="4" t="s">
        <v>26</v>
      </c>
      <c r="B28" s="3"/>
      <c r="C28" s="7">
        <v>1841.7</v>
      </c>
    </row>
    <row r="29" spans="1:3" x14ac:dyDescent="0.25">
      <c r="A29" s="4" t="s">
        <v>27</v>
      </c>
      <c r="B29" s="3"/>
      <c r="C29" s="9">
        <v>300</v>
      </c>
    </row>
    <row r="30" spans="1:3" x14ac:dyDescent="0.25">
      <c r="A30" s="6" t="s">
        <v>28</v>
      </c>
      <c r="B30" s="3"/>
      <c r="C30" s="10">
        <f>SUBTOTAL(9,C6:C29)</f>
        <v>578877.89999999991</v>
      </c>
    </row>
    <row r="32" spans="1:3" x14ac:dyDescent="0.25">
      <c r="A32" s="6" t="s">
        <v>29</v>
      </c>
    </row>
    <row r="33" spans="1:3" x14ac:dyDescent="0.25">
      <c r="A33" s="4" t="s">
        <v>30</v>
      </c>
      <c r="B33" s="3"/>
      <c r="C33" s="7">
        <v>5851.78</v>
      </c>
    </row>
    <row r="34" spans="1:3" x14ac:dyDescent="0.25">
      <c r="A34" s="4" t="s">
        <v>31</v>
      </c>
      <c r="B34" s="3"/>
      <c r="C34" s="7">
        <v>112098.1</v>
      </c>
    </row>
    <row r="35" spans="1:3" x14ac:dyDescent="0.25">
      <c r="A35" s="4" t="s">
        <v>32</v>
      </c>
      <c r="B35" s="3"/>
      <c r="C35" s="7">
        <v>50530</v>
      </c>
    </row>
    <row r="36" spans="1:3" x14ac:dyDescent="0.25">
      <c r="A36" s="4" t="s">
        <v>33</v>
      </c>
      <c r="B36" s="3"/>
      <c r="C36" s="7">
        <v>59332.61</v>
      </c>
    </row>
    <row r="37" spans="1:3" x14ac:dyDescent="0.25">
      <c r="A37" s="4" t="s">
        <v>34</v>
      </c>
      <c r="B37" s="3"/>
      <c r="C37" s="9">
        <v>0</v>
      </c>
    </row>
    <row r="38" spans="1:3" x14ac:dyDescent="0.25">
      <c r="A38" s="6" t="s">
        <v>35</v>
      </c>
      <c r="B38" s="3"/>
      <c r="C38" s="10">
        <f>SUBTOTAL(9,C31:C37)</f>
        <v>227812.49</v>
      </c>
    </row>
    <row r="40" spans="1:3" x14ac:dyDescent="0.25">
      <c r="A40" s="6" t="s">
        <v>36</v>
      </c>
    </row>
    <row r="41" spans="1:3" x14ac:dyDescent="0.25">
      <c r="A41" s="4" t="s">
        <v>37</v>
      </c>
      <c r="B41" s="7">
        <v>2566.9299999999998</v>
      </c>
    </row>
    <row r="42" spans="1:3" x14ac:dyDescent="0.25">
      <c r="A42" s="4" t="s">
        <v>38</v>
      </c>
      <c r="B42" s="8">
        <v>-1069.5999999999999</v>
      </c>
    </row>
    <row r="43" spans="1:3" x14ac:dyDescent="0.25">
      <c r="A43" s="4" t="s">
        <v>39</v>
      </c>
      <c r="B43" s="3"/>
      <c r="C43" s="7">
        <f>(B41+B42)</f>
        <v>1497.33</v>
      </c>
    </row>
    <row r="44" spans="1:3" x14ac:dyDescent="0.25">
      <c r="A44" s="4" t="s">
        <v>40</v>
      </c>
      <c r="B44" s="7">
        <v>3237.82</v>
      </c>
    </row>
    <row r="45" spans="1:3" x14ac:dyDescent="0.25">
      <c r="A45" s="4" t="s">
        <v>41</v>
      </c>
      <c r="B45" s="8">
        <v>-512.62</v>
      </c>
    </row>
    <row r="46" spans="1:3" x14ac:dyDescent="0.25">
      <c r="A46" s="4" t="s">
        <v>42</v>
      </c>
      <c r="B46" s="3"/>
      <c r="C46" s="7">
        <f>(B44+B45)</f>
        <v>2725.2000000000003</v>
      </c>
    </row>
    <row r="47" spans="1:3" x14ac:dyDescent="0.25">
      <c r="A47" s="4" t="s">
        <v>43</v>
      </c>
      <c r="B47" s="7">
        <v>0</v>
      </c>
    </row>
    <row r="48" spans="1:3" x14ac:dyDescent="0.25">
      <c r="A48" s="4" t="s">
        <v>44</v>
      </c>
      <c r="B48" s="9">
        <v>0</v>
      </c>
    </row>
    <row r="49" spans="1:3" x14ac:dyDescent="0.25">
      <c r="A49" s="4" t="s">
        <v>45</v>
      </c>
      <c r="B49" s="3"/>
      <c r="C49" s="7">
        <f>(B47+B48)</f>
        <v>0</v>
      </c>
    </row>
    <row r="50" spans="1:3" x14ac:dyDescent="0.25">
      <c r="A50" s="4" t="s">
        <v>46</v>
      </c>
      <c r="B50" s="7">
        <v>10058</v>
      </c>
    </row>
    <row r="51" spans="1:3" x14ac:dyDescent="0.25">
      <c r="A51" s="4" t="s">
        <v>47</v>
      </c>
      <c r="B51" s="8">
        <v>-1114.5999999999999</v>
      </c>
    </row>
    <row r="52" spans="1:3" x14ac:dyDescent="0.25">
      <c r="A52" s="4" t="s">
        <v>48</v>
      </c>
      <c r="B52" s="3"/>
      <c r="C52" s="7">
        <f>(B50+B51)</f>
        <v>8943.4</v>
      </c>
    </row>
    <row r="53" spans="1:3" x14ac:dyDescent="0.25">
      <c r="A53" s="4" t="s">
        <v>49</v>
      </c>
      <c r="B53" s="7">
        <v>5350</v>
      </c>
    </row>
    <row r="54" spans="1:3" x14ac:dyDescent="0.25">
      <c r="A54" s="4" t="s">
        <v>50</v>
      </c>
      <c r="B54" s="8">
        <v>-2229.1999999999998</v>
      </c>
    </row>
    <row r="55" spans="1:3" x14ac:dyDescent="0.25">
      <c r="A55" s="4" t="s">
        <v>51</v>
      </c>
      <c r="B55" s="3"/>
      <c r="C55" s="7">
        <f>(B53+B54)</f>
        <v>3120.8</v>
      </c>
    </row>
    <row r="56" spans="1:3" x14ac:dyDescent="0.25">
      <c r="A56" s="4" t="s">
        <v>52</v>
      </c>
      <c r="B56" s="7">
        <v>1200000</v>
      </c>
    </row>
    <row r="57" spans="1:3" x14ac:dyDescent="0.25">
      <c r="A57" s="4" t="s">
        <v>53</v>
      </c>
      <c r="B57" s="8">
        <v>-50000</v>
      </c>
    </row>
    <row r="58" spans="1:3" x14ac:dyDescent="0.25">
      <c r="A58" s="4" t="s">
        <v>54</v>
      </c>
      <c r="B58" s="3"/>
      <c r="C58" s="7">
        <f>(B56+B57)</f>
        <v>1150000</v>
      </c>
    </row>
    <row r="59" spans="1:3" x14ac:dyDescent="0.25">
      <c r="A59" s="4" t="s">
        <v>55</v>
      </c>
      <c r="B59" s="3"/>
      <c r="C59" s="9">
        <v>500000</v>
      </c>
    </row>
    <row r="60" spans="1:3" x14ac:dyDescent="0.25">
      <c r="A60" s="6" t="s">
        <v>56</v>
      </c>
      <c r="B60" s="3"/>
      <c r="C60" s="10">
        <f>SUBTOTAL(9,C39:C59)</f>
        <v>1666286.73</v>
      </c>
    </row>
    <row r="62" spans="1:3" x14ac:dyDescent="0.25">
      <c r="A62" s="6" t="s">
        <v>57</v>
      </c>
    </row>
    <row r="63" spans="1:3" x14ac:dyDescent="0.25">
      <c r="A63" s="4" t="s">
        <v>58</v>
      </c>
      <c r="B63" s="3"/>
      <c r="C63" s="7">
        <v>0</v>
      </c>
    </row>
    <row r="64" spans="1:3" x14ac:dyDescent="0.25">
      <c r="A64" s="4" t="s">
        <v>59</v>
      </c>
      <c r="B64" s="3"/>
      <c r="C64" s="9">
        <v>0</v>
      </c>
    </row>
    <row r="65" spans="1:3" x14ac:dyDescent="0.25">
      <c r="A65" s="6" t="s">
        <v>60</v>
      </c>
      <c r="B65" s="3"/>
      <c r="C65" s="10">
        <f>SUBTOTAL(9,C61:C64)</f>
        <v>0</v>
      </c>
    </row>
    <row r="67" spans="1:3" ht="15.75" thickBot="1" x14ac:dyDescent="0.3">
      <c r="A67" s="6" t="s">
        <v>61</v>
      </c>
      <c r="B67" s="3"/>
      <c r="C67" s="11">
        <f>SUBTOTAL(9,C6:C65)</f>
        <v>2472977.12</v>
      </c>
    </row>
    <row r="68" spans="1:3" ht="15.75" thickTop="1" x14ac:dyDescent="0.25"/>
    <row r="69" spans="1:3" x14ac:dyDescent="0.25">
      <c r="A69" s="6" t="s">
        <v>62</v>
      </c>
    </row>
    <row r="71" spans="1:3" x14ac:dyDescent="0.25">
      <c r="A71" s="6" t="s">
        <v>63</v>
      </c>
    </row>
    <row r="72" spans="1:3" x14ac:dyDescent="0.25">
      <c r="A72" s="4" t="s">
        <v>64</v>
      </c>
      <c r="B72" s="3"/>
      <c r="C72" s="7">
        <v>32334.34</v>
      </c>
    </row>
    <row r="73" spans="1:3" x14ac:dyDescent="0.25">
      <c r="A73" s="4" t="s">
        <v>65</v>
      </c>
      <c r="B73" s="7">
        <v>6391.91</v>
      </c>
    </row>
    <row r="74" spans="1:3" x14ac:dyDescent="0.25">
      <c r="A74" s="4" t="s">
        <v>66</v>
      </c>
      <c r="B74" s="7">
        <v>29014.2</v>
      </c>
    </row>
    <row r="75" spans="1:3" x14ac:dyDescent="0.25">
      <c r="A75" s="4" t="s">
        <v>67</v>
      </c>
      <c r="B75" s="9">
        <v>36263.050000000003</v>
      </c>
    </row>
    <row r="76" spans="1:3" x14ac:dyDescent="0.25">
      <c r="A76" s="4" t="s">
        <v>68</v>
      </c>
      <c r="B76" s="3"/>
      <c r="C76" s="7">
        <f>(B73+B74+B75)</f>
        <v>71669.16</v>
      </c>
    </row>
    <row r="77" spans="1:3" x14ac:dyDescent="0.25">
      <c r="A77" s="4" t="s">
        <v>69</v>
      </c>
      <c r="B77" s="3"/>
      <c r="C77" s="7">
        <v>0</v>
      </c>
    </row>
    <row r="78" spans="1:3" x14ac:dyDescent="0.25">
      <c r="A78" s="4" t="s">
        <v>70</v>
      </c>
      <c r="B78" s="3"/>
      <c r="C78" s="7">
        <v>0</v>
      </c>
    </row>
    <row r="79" spans="1:3" x14ac:dyDescent="0.25">
      <c r="A79" s="4" t="s">
        <v>71</v>
      </c>
      <c r="B79" s="3"/>
      <c r="C79" s="7">
        <v>0</v>
      </c>
    </row>
    <row r="80" spans="1:3" x14ac:dyDescent="0.25">
      <c r="A80" s="4" t="s">
        <v>72</v>
      </c>
      <c r="B80" s="3"/>
      <c r="C80" s="7">
        <v>0</v>
      </c>
    </row>
    <row r="81" spans="1:3" x14ac:dyDescent="0.25">
      <c r="A81" s="4" t="s">
        <v>73</v>
      </c>
      <c r="B81" s="3"/>
      <c r="C81" s="7">
        <v>12435.2</v>
      </c>
    </row>
    <row r="82" spans="1:3" x14ac:dyDescent="0.25">
      <c r="A82" s="4" t="s">
        <v>74</v>
      </c>
      <c r="B82" s="7">
        <v>7659.58</v>
      </c>
    </row>
    <row r="83" spans="1:3" x14ac:dyDescent="0.25">
      <c r="A83" s="4" t="s">
        <v>75</v>
      </c>
      <c r="B83" s="7">
        <v>13592.7</v>
      </c>
    </row>
    <row r="84" spans="1:3" x14ac:dyDescent="0.25">
      <c r="A84" s="4" t="s">
        <v>76</v>
      </c>
      <c r="B84" s="7">
        <v>2369.1</v>
      </c>
    </row>
    <row r="85" spans="1:3" x14ac:dyDescent="0.25">
      <c r="A85" s="4" t="s">
        <v>77</v>
      </c>
      <c r="B85" s="7">
        <v>28216.21</v>
      </c>
    </row>
    <row r="86" spans="1:3" x14ac:dyDescent="0.25">
      <c r="A86" s="4" t="s">
        <v>78</v>
      </c>
      <c r="B86" s="9">
        <v>3339.3</v>
      </c>
    </row>
    <row r="87" spans="1:3" x14ac:dyDescent="0.25">
      <c r="A87" s="4" t="s">
        <v>79</v>
      </c>
      <c r="B87" s="3"/>
      <c r="C87" s="7">
        <f>(B82+B83+B84+B85+B86)</f>
        <v>55176.89</v>
      </c>
    </row>
    <row r="88" spans="1:3" x14ac:dyDescent="0.25">
      <c r="A88" s="4" t="s">
        <v>80</v>
      </c>
      <c r="B88" s="3"/>
      <c r="C88" s="7">
        <v>2432.0300000000002</v>
      </c>
    </row>
    <row r="89" spans="1:3" x14ac:dyDescent="0.25">
      <c r="A89" s="4" t="s">
        <v>81</v>
      </c>
      <c r="B89" s="3"/>
      <c r="C89" s="7">
        <v>647.1</v>
      </c>
    </row>
    <row r="90" spans="1:3" x14ac:dyDescent="0.25">
      <c r="A90" s="4" t="s">
        <v>82</v>
      </c>
      <c r="B90" s="3"/>
      <c r="C90" s="7">
        <v>1206.49</v>
      </c>
    </row>
    <row r="91" spans="1:3" x14ac:dyDescent="0.25">
      <c r="A91" s="4" t="s">
        <v>83</v>
      </c>
      <c r="B91" s="3"/>
      <c r="C91" s="7">
        <v>268.68</v>
      </c>
    </row>
    <row r="92" spans="1:3" x14ac:dyDescent="0.25">
      <c r="A92" s="4" t="s">
        <v>84</v>
      </c>
      <c r="B92" s="3"/>
      <c r="C92" s="7">
        <v>6273.6</v>
      </c>
    </row>
    <row r="93" spans="1:3" x14ac:dyDescent="0.25">
      <c r="A93" s="4" t="s">
        <v>85</v>
      </c>
      <c r="B93" s="3"/>
      <c r="C93" s="7">
        <v>876</v>
      </c>
    </row>
    <row r="94" spans="1:3" x14ac:dyDescent="0.25">
      <c r="A94" s="4" t="s">
        <v>86</v>
      </c>
      <c r="B94" s="3"/>
      <c r="C94" s="7">
        <v>561.17999999999995</v>
      </c>
    </row>
    <row r="95" spans="1:3" x14ac:dyDescent="0.25">
      <c r="A95" s="4" t="s">
        <v>87</v>
      </c>
      <c r="B95" s="3"/>
      <c r="C95" s="7">
        <v>450</v>
      </c>
    </row>
    <row r="96" spans="1:3" x14ac:dyDescent="0.25">
      <c r="A96" s="4" t="s">
        <v>88</v>
      </c>
      <c r="B96" s="3"/>
      <c r="C96" s="7">
        <v>2603</v>
      </c>
    </row>
    <row r="97" spans="1:3" x14ac:dyDescent="0.25">
      <c r="A97" s="4" t="s">
        <v>89</v>
      </c>
      <c r="B97" s="3"/>
      <c r="C97" s="7">
        <v>10305</v>
      </c>
    </row>
    <row r="98" spans="1:3" x14ac:dyDescent="0.25">
      <c r="A98" s="4" t="s">
        <v>90</v>
      </c>
      <c r="B98" s="3"/>
      <c r="C98" s="7">
        <v>296</v>
      </c>
    </row>
    <row r="99" spans="1:3" x14ac:dyDescent="0.25">
      <c r="A99" s="4" t="s">
        <v>91</v>
      </c>
      <c r="B99" s="3"/>
      <c r="C99" s="7">
        <v>184</v>
      </c>
    </row>
    <row r="100" spans="1:3" x14ac:dyDescent="0.25">
      <c r="A100" s="4" t="s">
        <v>92</v>
      </c>
      <c r="B100" s="3"/>
      <c r="C100" s="7">
        <v>0</v>
      </c>
    </row>
    <row r="101" spans="1:3" x14ac:dyDescent="0.25">
      <c r="A101" s="4" t="s">
        <v>93</v>
      </c>
      <c r="B101" s="3"/>
      <c r="C101" s="7">
        <v>0</v>
      </c>
    </row>
    <row r="102" spans="1:3" x14ac:dyDescent="0.25">
      <c r="A102" s="4" t="s">
        <v>94</v>
      </c>
      <c r="B102" s="3"/>
      <c r="C102" s="7">
        <v>19870.400000000001</v>
      </c>
    </row>
    <row r="103" spans="1:3" x14ac:dyDescent="0.25">
      <c r="A103" s="4" t="s">
        <v>95</v>
      </c>
      <c r="B103" s="7">
        <v>18695.400000000001</v>
      </c>
    </row>
    <row r="104" spans="1:3" x14ac:dyDescent="0.25">
      <c r="A104" s="4" t="s">
        <v>96</v>
      </c>
      <c r="B104" s="12">
        <v>-6867.92</v>
      </c>
    </row>
    <row r="105" spans="1:3" x14ac:dyDescent="0.25">
      <c r="A105" s="4" t="s">
        <v>97</v>
      </c>
      <c r="B105" s="7">
        <v>0</v>
      </c>
    </row>
    <row r="106" spans="1:3" x14ac:dyDescent="0.25">
      <c r="A106" s="4" t="s">
        <v>98</v>
      </c>
      <c r="B106" s="9">
        <v>0</v>
      </c>
    </row>
    <row r="107" spans="1:3" x14ac:dyDescent="0.25">
      <c r="A107" s="4" t="s">
        <v>99</v>
      </c>
      <c r="B107" s="3"/>
      <c r="C107" s="7">
        <f>(B103+B104+B105+B106)</f>
        <v>11827.480000000001</v>
      </c>
    </row>
    <row r="108" spans="1:3" x14ac:dyDescent="0.25">
      <c r="A108" s="4" t="s">
        <v>100</v>
      </c>
      <c r="B108" s="3"/>
      <c r="C108" s="7">
        <v>0</v>
      </c>
    </row>
    <row r="109" spans="1:3" x14ac:dyDescent="0.25">
      <c r="A109" s="4" t="s">
        <v>101</v>
      </c>
      <c r="B109" s="3"/>
      <c r="C109" s="9">
        <v>2388.23</v>
      </c>
    </row>
    <row r="110" spans="1:3" x14ac:dyDescent="0.25">
      <c r="A110" s="6" t="s">
        <v>102</v>
      </c>
      <c r="B110" s="3"/>
      <c r="C110" s="10">
        <f>SUBTOTAL(9,C70:C109)</f>
        <v>231804.78</v>
      </c>
    </row>
    <row r="112" spans="1:3" x14ac:dyDescent="0.25">
      <c r="A112" s="6" t="s">
        <v>103</v>
      </c>
    </row>
    <row r="113" spans="1:3" x14ac:dyDescent="0.25">
      <c r="A113" s="4" t="s">
        <v>104</v>
      </c>
      <c r="B113" s="3"/>
      <c r="C113" s="7">
        <v>0</v>
      </c>
    </row>
    <row r="114" spans="1:3" x14ac:dyDescent="0.25">
      <c r="A114" s="4" t="s">
        <v>105</v>
      </c>
      <c r="B114" s="3"/>
      <c r="C114" s="7">
        <v>0</v>
      </c>
    </row>
    <row r="115" spans="1:3" x14ac:dyDescent="0.25">
      <c r="A115" s="4" t="s">
        <v>106</v>
      </c>
      <c r="B115" s="3"/>
      <c r="C115" s="9">
        <v>0</v>
      </c>
    </row>
    <row r="116" spans="1:3" x14ac:dyDescent="0.25">
      <c r="A116" s="6" t="s">
        <v>107</v>
      </c>
      <c r="B116" s="3"/>
      <c r="C116" s="10">
        <f>SUBTOTAL(9,C111:C115)</f>
        <v>0</v>
      </c>
    </row>
    <row r="118" spans="1:3" x14ac:dyDescent="0.25">
      <c r="A118" s="6" t="s">
        <v>108</v>
      </c>
      <c r="B118" s="3"/>
      <c r="C118" s="9">
        <f>SUBTOTAL(9,C70:C116)</f>
        <v>231804.78</v>
      </c>
    </row>
    <row r="120" spans="1:3" x14ac:dyDescent="0.25">
      <c r="A120" s="6" t="s">
        <v>109</v>
      </c>
    </row>
    <row r="122" spans="1:3" x14ac:dyDescent="0.25">
      <c r="A122" s="6" t="s">
        <v>110</v>
      </c>
    </row>
    <row r="123" spans="1:3" x14ac:dyDescent="0.25">
      <c r="A123" s="4" t="s">
        <v>111</v>
      </c>
      <c r="B123" s="3"/>
      <c r="C123" s="7">
        <v>1800000</v>
      </c>
    </row>
    <row r="124" spans="1:3" x14ac:dyDescent="0.25">
      <c r="A124" s="4" t="s">
        <v>112</v>
      </c>
      <c r="B124" s="3"/>
      <c r="C124" s="9">
        <v>0</v>
      </c>
    </row>
    <row r="125" spans="1:3" x14ac:dyDescent="0.25">
      <c r="A125" s="6" t="s">
        <v>113</v>
      </c>
      <c r="B125" s="3"/>
      <c r="C125" s="10">
        <f>SUBTOTAL(9,C121:C124)</f>
        <v>1800000</v>
      </c>
    </row>
    <row r="127" spans="1:3" x14ac:dyDescent="0.25">
      <c r="A127" s="6" t="s">
        <v>114</v>
      </c>
    </row>
    <row r="128" spans="1:3" x14ac:dyDescent="0.25">
      <c r="A128" s="4" t="s">
        <v>115</v>
      </c>
      <c r="B128" s="3"/>
      <c r="C128" s="7">
        <v>207679.63</v>
      </c>
    </row>
    <row r="129" spans="1:3" x14ac:dyDescent="0.25">
      <c r="A129" s="4" t="s">
        <v>116</v>
      </c>
      <c r="B129" s="3"/>
      <c r="C129" s="9">
        <v>233492.71</v>
      </c>
    </row>
    <row r="130" spans="1:3" x14ac:dyDescent="0.25">
      <c r="A130" s="6" t="s">
        <v>117</v>
      </c>
      <c r="B130" s="3"/>
      <c r="C130" s="10">
        <f>SUBTOTAL(9,C126:C129)</f>
        <v>441172.33999999997</v>
      </c>
    </row>
    <row r="132" spans="1:3" x14ac:dyDescent="0.25">
      <c r="A132" s="6" t="s">
        <v>118</v>
      </c>
      <c r="B132" s="3"/>
      <c r="C132" s="9">
        <f>SUBTOTAL(9,C121:C130)</f>
        <v>2241172.34</v>
      </c>
    </row>
    <row r="134" spans="1:3" ht="15.75" thickBot="1" x14ac:dyDescent="0.3">
      <c r="A134" s="6" t="s">
        <v>119</v>
      </c>
      <c r="B134" s="3"/>
      <c r="C134" s="11">
        <f>(C118+C132)</f>
        <v>2472977.1199999996</v>
      </c>
    </row>
    <row r="135" spans="1:3" ht="15.75" thickTop="1" x14ac:dyDescent="0.25"/>
    <row r="136" spans="1:3" x14ac:dyDescent="0.25">
      <c r="A136" s="13" t="s">
        <v>120</v>
      </c>
    </row>
    <row r="137" spans="1:3" x14ac:dyDescent="0.25">
      <c r="A137" s="13" t="s">
        <v>121</v>
      </c>
    </row>
    <row r="138" spans="1:3" x14ac:dyDescent="0.25">
      <c r="A138" s="13" t="s">
        <v>122</v>
      </c>
    </row>
    <row r="139" spans="1:3" x14ac:dyDescent="0.25">
      <c r="A139" s="13" t="s">
        <v>123</v>
      </c>
    </row>
    <row r="140" spans="1:3" x14ac:dyDescent="0.25">
      <c r="A140" s="13" t="s">
        <v>2</v>
      </c>
    </row>
    <row r="141" spans="1:3" x14ac:dyDescent="0.25">
      <c r="A141" s="13" t="s">
        <v>124</v>
      </c>
    </row>
    <row r="142" spans="1:3" x14ac:dyDescent="0.25">
      <c r="A142" s="13" t="s">
        <v>125</v>
      </c>
    </row>
    <row r="143" spans="1:3" x14ac:dyDescent="0.25">
      <c r="A143" s="13" t="s">
        <v>2</v>
      </c>
    </row>
    <row r="144" spans="1:3" x14ac:dyDescent="0.25">
      <c r="A144" s="13" t="s">
        <v>126</v>
      </c>
    </row>
    <row r="145" spans="1:4" x14ac:dyDescent="0.25">
      <c r="A145" s="13" t="s">
        <v>127</v>
      </c>
    </row>
    <row r="146" spans="1:4" x14ac:dyDescent="0.25">
      <c r="A146" s="13" t="s">
        <v>2</v>
      </c>
    </row>
    <row r="147" spans="1:4" x14ac:dyDescent="0.25">
      <c r="A147" s="13" t="s">
        <v>128</v>
      </c>
    </row>
    <row r="148" spans="1:4" x14ac:dyDescent="0.25">
      <c r="A148" s="13" t="s">
        <v>129</v>
      </c>
    </row>
    <row r="149" spans="1:4" x14ac:dyDescent="0.25">
      <c r="A149" s="13" t="s">
        <v>2</v>
      </c>
    </row>
    <row r="150" spans="1:4" x14ac:dyDescent="0.25">
      <c r="A150" s="14" t="s">
        <v>130</v>
      </c>
      <c r="B150" s="14"/>
      <c r="C150" s="14"/>
      <c r="D150" s="14"/>
    </row>
    <row r="151" spans="1:4" x14ac:dyDescent="0.25">
      <c r="A151" s="14" t="s">
        <v>131</v>
      </c>
      <c r="B151" s="14"/>
      <c r="C151" s="14"/>
      <c r="D151" s="14"/>
    </row>
    <row r="152" spans="1:4" x14ac:dyDescent="0.25">
      <c r="A152" s="14" t="s">
        <v>132</v>
      </c>
      <c r="B152" s="14"/>
      <c r="C152" s="14"/>
      <c r="D152" s="14"/>
    </row>
  </sheetData>
  <mergeCells count="3">
    <mergeCell ref="A150:D150"/>
    <mergeCell ref="A151:D151"/>
    <mergeCell ref="A152:D1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Warr</dc:creator>
  <cp:lastModifiedBy>Leonie Warr</cp:lastModifiedBy>
  <dcterms:created xsi:type="dcterms:W3CDTF">2026-07-23T03:07:01Z</dcterms:created>
  <dcterms:modified xsi:type="dcterms:W3CDTF">2026-07-23T03:07:05Z</dcterms:modified>
</cp:coreProperties>
</file>